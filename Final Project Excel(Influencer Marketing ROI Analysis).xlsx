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er\Desktop\Excel Project\"/>
    </mc:Choice>
  </mc:AlternateContent>
  <xr:revisionPtr revIDLastSave="0" documentId="13_ncr:1_{E4BDBD81-D46E-4302-A4FB-2ED76BE5BAD8}" xr6:coauthVersionLast="47" xr6:coauthVersionMax="47" xr10:uidLastSave="{00000000-0000-0000-0000-000000000000}"/>
  <bookViews>
    <workbookView xWindow="-108" yWindow="-108" windowWidth="23256" windowHeight="12456" activeTab="2" xr2:uid="{D3803D07-6515-4E54-8B3A-B079D7CBA6F4}"/>
  </bookViews>
  <sheets>
    <sheet name="ROI Dataset" sheetId="1" r:id="rId1"/>
    <sheet name="Data Analysis" sheetId="2" r:id="rId2"/>
    <sheet name="Data Dashboard" sheetId="3" r:id="rId3"/>
  </sheets>
  <definedNames>
    <definedName name="_xlnm._FilterDatabase" localSheetId="0" hidden="1">'ROI Dataset'!$A$1:$M$1</definedName>
    <definedName name="NativeTimeline_Start_Date">#N/A</definedName>
    <definedName name="Slicer_Campaign_Type">#N/A</definedName>
    <definedName name="Slicer_Influencer_Category">#N/A</definedName>
    <definedName name="Slicer_Platfor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71" i="1" l="1"/>
  <c r="M856" i="1"/>
  <c r="M817" i="1"/>
  <c r="M820" i="1"/>
  <c r="M821" i="1"/>
  <c r="M822" i="1"/>
  <c r="M825" i="1"/>
  <c r="M828" i="1"/>
  <c r="M829" i="1"/>
  <c r="M830" i="1"/>
  <c r="J776" i="1"/>
  <c r="M706" i="1"/>
  <c r="M707" i="1"/>
  <c r="M709" i="1"/>
  <c r="M535" i="1"/>
  <c r="M537" i="1"/>
  <c r="M538" i="1"/>
  <c r="M539" i="1"/>
  <c r="M543" i="1"/>
  <c r="M545" i="1"/>
  <c r="M445" i="1"/>
  <c r="M446" i="1"/>
  <c r="M339" i="1"/>
  <c r="M341" i="1"/>
  <c r="M342" i="1"/>
  <c r="M343" i="1"/>
  <c r="M347" i="1"/>
  <c r="I349" i="1"/>
  <c r="M349" i="1" s="1"/>
  <c r="M295" i="1"/>
  <c r="M296" i="1"/>
  <c r="M300" i="1"/>
  <c r="I301" i="1"/>
  <c r="M10" i="1"/>
  <c r="M1337" i="1"/>
  <c r="L1337" i="1"/>
  <c r="M1336" i="1"/>
  <c r="L1336" i="1"/>
  <c r="M1335" i="1"/>
  <c r="L1335" i="1"/>
  <c r="M1334" i="1"/>
  <c r="L1334" i="1"/>
  <c r="M1333" i="1"/>
  <c r="L1333" i="1"/>
  <c r="M1332" i="1"/>
  <c r="L1332" i="1"/>
  <c r="M1331" i="1"/>
  <c r="L1331" i="1"/>
  <c r="M1330" i="1"/>
  <c r="L1330" i="1"/>
  <c r="M1329" i="1"/>
  <c r="L1329" i="1"/>
  <c r="M1328" i="1"/>
  <c r="L1328" i="1"/>
  <c r="M1327" i="1"/>
  <c r="L1327" i="1"/>
  <c r="M1326" i="1"/>
  <c r="L1326" i="1"/>
  <c r="M1325" i="1"/>
  <c r="L1325" i="1"/>
  <c r="M1324" i="1"/>
  <c r="L1324" i="1"/>
  <c r="M1323" i="1"/>
  <c r="L1323" i="1"/>
  <c r="M1322" i="1"/>
  <c r="L1322" i="1"/>
  <c r="M1321" i="1"/>
  <c r="L1321" i="1"/>
  <c r="M1320" i="1"/>
  <c r="L1320" i="1"/>
  <c r="M1319" i="1"/>
  <c r="L1319" i="1"/>
  <c r="M1318" i="1"/>
  <c r="L1318" i="1"/>
  <c r="M1317" i="1"/>
  <c r="L1317" i="1"/>
  <c r="M1316" i="1"/>
  <c r="L1316" i="1"/>
  <c r="M1315" i="1"/>
  <c r="L1315" i="1"/>
  <c r="M1314" i="1"/>
  <c r="L1314" i="1"/>
  <c r="M1313" i="1"/>
  <c r="L1313" i="1"/>
  <c r="M1312" i="1"/>
  <c r="L1312" i="1"/>
  <c r="M1311" i="1"/>
  <c r="L1311" i="1"/>
  <c r="M1310" i="1"/>
  <c r="L1310" i="1"/>
  <c r="M1309" i="1"/>
  <c r="L1309" i="1"/>
  <c r="M1308" i="1"/>
  <c r="L1308" i="1"/>
  <c r="M1307" i="1"/>
  <c r="L1307" i="1"/>
  <c r="M1306" i="1"/>
  <c r="L1306" i="1"/>
  <c r="M1305" i="1"/>
  <c r="L1305" i="1"/>
  <c r="M1304" i="1"/>
  <c r="L1304" i="1"/>
  <c r="M1303" i="1"/>
  <c r="L1303" i="1"/>
  <c r="M1302" i="1"/>
  <c r="L1302" i="1"/>
  <c r="M1301" i="1"/>
  <c r="L1301" i="1"/>
  <c r="M1300" i="1"/>
  <c r="L1300" i="1"/>
  <c r="M1299" i="1"/>
  <c r="L1299" i="1"/>
  <c r="M1298" i="1"/>
  <c r="L1298" i="1"/>
  <c r="M1297" i="1"/>
  <c r="L1297" i="1"/>
  <c r="M1296" i="1"/>
  <c r="L1296" i="1"/>
  <c r="M1295" i="1"/>
  <c r="L1295" i="1"/>
  <c r="M1294" i="1"/>
  <c r="L1294" i="1"/>
  <c r="M1293" i="1"/>
  <c r="L1293" i="1"/>
  <c r="M1292" i="1"/>
  <c r="L1292" i="1"/>
  <c r="M1291" i="1"/>
  <c r="L1291" i="1"/>
  <c r="M1290" i="1"/>
  <c r="L1290" i="1"/>
  <c r="M1289" i="1"/>
  <c r="L1289" i="1"/>
  <c r="M1288" i="1"/>
  <c r="L1288" i="1"/>
  <c r="M1287" i="1"/>
  <c r="L1287" i="1"/>
  <c r="M1286" i="1"/>
  <c r="L1286" i="1"/>
  <c r="M1285" i="1"/>
  <c r="L1285" i="1"/>
  <c r="M1284" i="1"/>
  <c r="L1284" i="1"/>
  <c r="M1283" i="1"/>
  <c r="L1283" i="1"/>
  <c r="M1282" i="1"/>
  <c r="L1282" i="1"/>
  <c r="M1281" i="1"/>
  <c r="L1281" i="1"/>
  <c r="M1280" i="1"/>
  <c r="L1280" i="1"/>
  <c r="M1279" i="1"/>
  <c r="L1279" i="1"/>
  <c r="M1278" i="1"/>
  <c r="L1278" i="1"/>
  <c r="M1277" i="1"/>
  <c r="L1277" i="1"/>
  <c r="M1276" i="1"/>
  <c r="L1276" i="1"/>
  <c r="M1275" i="1"/>
  <c r="L1275" i="1"/>
  <c r="M1274" i="1"/>
  <c r="L1274" i="1"/>
  <c r="M1273" i="1"/>
  <c r="L1273" i="1"/>
  <c r="M1272" i="1"/>
  <c r="L1272" i="1"/>
  <c r="M1271" i="1"/>
  <c r="L1271" i="1"/>
  <c r="M1270" i="1"/>
  <c r="L1270" i="1"/>
  <c r="M1269" i="1"/>
  <c r="L1269" i="1"/>
  <c r="M1268" i="1"/>
  <c r="L1268" i="1"/>
  <c r="M1267" i="1"/>
  <c r="L1267" i="1"/>
  <c r="M1266" i="1"/>
  <c r="L1266" i="1"/>
  <c r="M1265" i="1"/>
  <c r="L1265" i="1"/>
  <c r="M1264" i="1"/>
  <c r="L1264" i="1"/>
  <c r="M1263" i="1"/>
  <c r="L1263" i="1"/>
  <c r="M1262" i="1"/>
  <c r="L1262" i="1"/>
  <c r="M1261" i="1"/>
  <c r="L1261" i="1"/>
  <c r="M1260" i="1"/>
  <c r="L1260" i="1"/>
  <c r="M1259" i="1"/>
  <c r="L1259" i="1"/>
  <c r="M1258" i="1"/>
  <c r="L1258" i="1"/>
  <c r="M1257" i="1"/>
  <c r="L1257" i="1"/>
  <c r="M1256" i="1"/>
  <c r="L1256" i="1"/>
  <c r="M1255" i="1"/>
  <c r="L1255" i="1"/>
  <c r="M1254" i="1"/>
  <c r="L1254" i="1"/>
  <c r="M1253" i="1"/>
  <c r="L1253" i="1"/>
  <c r="M1252" i="1"/>
  <c r="L1252" i="1"/>
  <c r="M1251" i="1"/>
  <c r="L1251" i="1"/>
  <c r="M1250" i="1"/>
  <c r="L1250" i="1"/>
  <c r="M1249" i="1"/>
  <c r="L1249" i="1"/>
  <c r="M1248" i="1"/>
  <c r="L1248" i="1"/>
  <c r="M1247" i="1"/>
  <c r="L1247" i="1"/>
  <c r="M1246" i="1"/>
  <c r="L1246" i="1"/>
  <c r="M1245" i="1"/>
  <c r="L1245" i="1"/>
  <c r="M1244" i="1"/>
  <c r="L1244" i="1"/>
  <c r="M1243" i="1"/>
  <c r="L1243" i="1"/>
  <c r="M1242" i="1"/>
  <c r="L1242" i="1"/>
  <c r="M1241" i="1"/>
  <c r="L1241" i="1"/>
  <c r="M1240" i="1"/>
  <c r="L1240" i="1"/>
  <c r="M1239" i="1"/>
  <c r="L1239" i="1"/>
  <c r="M1238" i="1"/>
  <c r="L1238" i="1"/>
  <c r="M1237" i="1"/>
  <c r="L1237" i="1"/>
  <c r="M1236" i="1"/>
  <c r="L1236" i="1"/>
  <c r="M1235" i="1"/>
  <c r="L1235" i="1"/>
  <c r="M1234" i="1"/>
  <c r="L1234" i="1"/>
  <c r="M1233" i="1"/>
  <c r="L1233" i="1"/>
  <c r="M1232" i="1"/>
  <c r="L1232" i="1"/>
  <c r="M1231" i="1"/>
  <c r="L1231" i="1"/>
  <c r="M1230" i="1"/>
  <c r="L1230" i="1"/>
  <c r="M1229" i="1"/>
  <c r="L1229" i="1"/>
  <c r="M1228" i="1"/>
  <c r="L1228" i="1"/>
  <c r="M1227" i="1"/>
  <c r="L1227" i="1"/>
  <c r="M1226" i="1"/>
  <c r="L1226" i="1"/>
  <c r="M1225" i="1"/>
  <c r="L1225" i="1"/>
  <c r="M1224" i="1"/>
  <c r="L1224" i="1"/>
  <c r="M1223" i="1"/>
  <c r="L1223" i="1"/>
  <c r="M1222" i="1"/>
  <c r="L1222" i="1"/>
  <c r="M1221" i="1"/>
  <c r="L1221" i="1"/>
  <c r="M1220" i="1"/>
  <c r="L1220" i="1"/>
  <c r="M1219" i="1"/>
  <c r="L1219" i="1"/>
  <c r="M1218" i="1"/>
  <c r="L1218" i="1"/>
  <c r="M1217" i="1"/>
  <c r="L1217" i="1"/>
  <c r="M1216" i="1"/>
  <c r="L1216" i="1"/>
  <c r="M1215" i="1"/>
  <c r="L1215" i="1"/>
  <c r="M1214" i="1"/>
  <c r="L1214" i="1"/>
  <c r="M1213" i="1"/>
  <c r="L1213" i="1"/>
  <c r="M1212" i="1"/>
  <c r="L1212" i="1"/>
  <c r="M1211" i="1"/>
  <c r="L1211" i="1"/>
  <c r="M1210" i="1"/>
  <c r="L1210" i="1"/>
  <c r="M1209" i="1"/>
  <c r="L1209" i="1"/>
  <c r="M1208" i="1"/>
  <c r="L1208" i="1"/>
  <c r="M1207" i="1"/>
  <c r="L1207" i="1"/>
  <c r="M1206" i="1"/>
  <c r="L1206" i="1"/>
  <c r="M1205" i="1"/>
  <c r="L1205" i="1"/>
  <c r="M1204" i="1"/>
  <c r="L1204" i="1"/>
  <c r="M1203" i="1"/>
  <c r="L1203" i="1"/>
  <c r="M1202" i="1"/>
  <c r="L1202" i="1"/>
  <c r="M1201" i="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L830" i="1"/>
  <c r="L829" i="1"/>
  <c r="L828" i="1"/>
  <c r="M827" i="1"/>
  <c r="L827" i="1"/>
  <c r="M826" i="1"/>
  <c r="L826" i="1"/>
  <c r="L825" i="1"/>
  <c r="M824" i="1"/>
  <c r="L824" i="1"/>
  <c r="M823" i="1"/>
  <c r="L823" i="1"/>
  <c r="L822" i="1"/>
  <c r="L821" i="1"/>
  <c r="L820" i="1"/>
  <c r="M819" i="1"/>
  <c r="L819" i="1"/>
  <c r="M818" i="1"/>
  <c r="L818"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L709" i="1"/>
  <c r="M708" i="1"/>
  <c r="L708" i="1"/>
  <c r="L707"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L545" i="1"/>
  <c r="M544" i="1"/>
  <c r="L544" i="1"/>
  <c r="L543" i="1"/>
  <c r="M542" i="1"/>
  <c r="L542" i="1"/>
  <c r="M541" i="1"/>
  <c r="L541" i="1"/>
  <c r="M540" i="1"/>
  <c r="L540" i="1"/>
  <c r="L539" i="1"/>
  <c r="L538" i="1"/>
  <c r="L537" i="1"/>
  <c r="M536" i="1"/>
  <c r="L536"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L446"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L349" i="1"/>
  <c r="M348" i="1"/>
  <c r="L348" i="1"/>
  <c r="L347" i="1"/>
  <c r="M346" i="1"/>
  <c r="L346" i="1"/>
  <c r="M345" i="1"/>
  <c r="L345" i="1"/>
  <c r="M344" i="1"/>
  <c r="L344" i="1"/>
  <c r="L343" i="1"/>
  <c r="L342" i="1"/>
  <c r="L341" i="1"/>
  <c r="M340" i="1"/>
  <c r="L340"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L300" i="1"/>
  <c r="M299" i="1"/>
  <c r="L299" i="1"/>
  <c r="M298" i="1"/>
  <c r="L298" i="1"/>
  <c r="M297" i="1"/>
  <c r="L297" i="1"/>
  <c r="L296"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L10" i="1"/>
  <c r="M9" i="1"/>
  <c r="L9" i="1"/>
  <c r="M8" i="1"/>
  <c r="L8" i="1"/>
  <c r="M7" i="1"/>
  <c r="L7" i="1"/>
  <c r="M6" i="1"/>
  <c r="L6" i="1"/>
  <c r="M5" i="1"/>
  <c r="L5" i="1"/>
  <c r="M4" i="1"/>
  <c r="L4" i="1"/>
  <c r="M3" i="1"/>
  <c r="L3" i="1"/>
  <c r="M2" i="1"/>
  <c r="L2" i="1"/>
  <c r="U39" i="2"/>
  <c r="U36" i="2"/>
  <c r="U42" i="2"/>
</calcChain>
</file>

<file path=xl/sharedStrings.xml><?xml version="1.0" encoding="utf-8"?>
<sst xmlns="http://schemas.openxmlformats.org/spreadsheetml/2006/main" count="4191" uniqueCount="70">
  <si>
    <t>Platform</t>
  </si>
  <si>
    <t>Influencer Category</t>
  </si>
  <si>
    <t>Campaign Type</t>
  </si>
  <si>
    <t>Start Date</t>
  </si>
  <si>
    <t>Engagements</t>
  </si>
  <si>
    <t>Estimated Reach</t>
  </si>
  <si>
    <t>Product Sales</t>
  </si>
  <si>
    <t>Campaign Duration Days</t>
  </si>
  <si>
    <t>End Date</t>
  </si>
  <si>
    <t>Engagement Rate</t>
  </si>
  <si>
    <t>TikTok</t>
  </si>
  <si>
    <t>Fitness</t>
  </si>
  <si>
    <t>Giveaway</t>
  </si>
  <si>
    <t>YouTube</t>
  </si>
  <si>
    <t>Food</t>
  </si>
  <si>
    <t>Product Launch</t>
  </si>
  <si>
    <t>Travel</t>
  </si>
  <si>
    <t>Brand Awareness</t>
  </si>
  <si>
    <t>Instagram</t>
  </si>
  <si>
    <t>Twitter</t>
  </si>
  <si>
    <t>Beauty</t>
  </si>
  <si>
    <t>Tech</t>
  </si>
  <si>
    <t>Seasonal Sale</t>
  </si>
  <si>
    <t>Gaming</t>
  </si>
  <si>
    <t>Event Promotion</t>
  </si>
  <si>
    <t>Fashion</t>
  </si>
  <si>
    <t>Campaign ID</t>
  </si>
  <si>
    <t>Row Labels</t>
  </si>
  <si>
    <t>Grand Total</t>
  </si>
  <si>
    <t>Sum of Product Sales</t>
  </si>
  <si>
    <t>Average of Engagement Rate</t>
  </si>
  <si>
    <t>Count of Campaign Type</t>
  </si>
  <si>
    <t>Count of Influencer Category</t>
  </si>
  <si>
    <t>Count of Campaign Id</t>
  </si>
  <si>
    <t>Sales Per 1000 Reach</t>
  </si>
  <si>
    <t>Engagement  Per  Day</t>
  </si>
  <si>
    <t>Average of Engagement  Per  Day</t>
  </si>
  <si>
    <t>Average of Sales Per 1000 Reach</t>
  </si>
  <si>
    <t>2022</t>
  </si>
  <si>
    <t>2023</t>
  </si>
  <si>
    <t>2024</t>
  </si>
  <si>
    <t>2025</t>
  </si>
  <si>
    <t>Qtr1</t>
  </si>
  <si>
    <t>Qtr2</t>
  </si>
  <si>
    <t>Qtr3</t>
  </si>
  <si>
    <t>Qtr4</t>
  </si>
  <si>
    <t>Jan</t>
  </si>
  <si>
    <t>Feb</t>
  </si>
  <si>
    <t>Mar</t>
  </si>
  <si>
    <t>Apr</t>
  </si>
  <si>
    <t>May</t>
  </si>
  <si>
    <t>Jun</t>
  </si>
  <si>
    <t>Jul</t>
  </si>
  <si>
    <t>Aug</t>
  </si>
  <si>
    <t>Sep</t>
  </si>
  <si>
    <t>Oct</t>
  </si>
  <si>
    <t>Nov</t>
  </si>
  <si>
    <t>Dec</t>
  </si>
  <si>
    <t>Count of Campaign ID</t>
  </si>
  <si>
    <t>Average of Engagements</t>
  </si>
  <si>
    <t>Average of Estimated Reach</t>
  </si>
  <si>
    <t>Sales volumes and average engagement rates by category across platforms</t>
  </si>
  <si>
    <t>Number of campaign types by category</t>
  </si>
  <si>
    <t>Number of campaigns conducted by platform</t>
  </si>
  <si>
    <t>Sales volumes by quarter across years</t>
  </si>
  <si>
    <t>Average Sales per 1000 Reach and average daily engagement by category</t>
  </si>
  <si>
    <t>Monthly sales volumes</t>
  </si>
  <si>
    <t>Average reach, engagement, and engagement rate by platform</t>
  </si>
  <si>
    <t>Distribution ratio by category</t>
  </si>
  <si>
    <t>Overall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</si>
</sst>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0000_);[Red]\(&quot;$&quot;#,##0.0000\)"/>
    <numFmt numFmtId="165"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rgb="FFFF0000"/>
      <name val="Aptos Narrow"/>
      <family val="2"/>
      <scheme val="minor"/>
    </font>
    <font>
      <sz val="14"/>
      <color theme="1"/>
      <name val="Aptos Narrow"/>
      <family val="2"/>
      <scheme val="minor"/>
    </font>
    <font>
      <b/>
      <sz val="14"/>
      <color theme="1"/>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6" fontId="0" fillId="0" borderId="0" xfId="0" applyNumberFormat="1"/>
    <xf numFmtId="10" fontId="0" fillId="0" borderId="0" xfId="0" applyNumberFormat="1"/>
    <xf numFmtId="1"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vertical="center"/>
    </xf>
    <xf numFmtId="0" fontId="0" fillId="0" borderId="0" xfId="0" applyAlignment="1">
      <alignment vertical="center"/>
    </xf>
    <xf numFmtId="164" fontId="0" fillId="0" borderId="0" xfId="0" applyNumberFormat="1"/>
    <xf numFmtId="0" fontId="19" fillId="0" borderId="0" xfId="0" applyFont="1" applyAlignment="1">
      <alignment vertical="center"/>
    </xf>
    <xf numFmtId="165" fontId="0" fillId="0" borderId="0" xfId="0" applyNumberFormat="1"/>
    <xf numFmtId="1" fontId="0" fillId="0" borderId="0" xfId="0" applyNumberFormat="1" applyAlignment="1">
      <alignment horizontal="right"/>
    </xf>
    <xf numFmtId="0" fontId="0" fillId="0" borderId="0" xfId="0" applyAlignment="1">
      <alignment horizontal="right"/>
    </xf>
    <xf numFmtId="8" fontId="0" fillId="0" borderId="0" xfId="0" applyNumberFormat="1"/>
    <xf numFmtId="0" fontId="18" fillId="0" borderId="0" xfId="0" applyFont="1" applyAlignment="1">
      <alignment vertical="center"/>
    </xf>
    <xf numFmtId="0" fontId="0" fillId="34" borderId="0" xfId="0" applyFill="1"/>
    <xf numFmtId="0" fontId="21" fillId="34" borderId="0" xfId="0" applyFont="1" applyFill="1"/>
    <xf numFmtId="4" fontId="0" fillId="34" borderId="0" xfId="0" applyNumberFormat="1" applyFill="1"/>
    <xf numFmtId="0" fontId="18" fillId="0" borderId="0" xfId="0" applyFont="1" applyAlignment="1">
      <alignment horizontal="center" vertical="center"/>
    </xf>
    <xf numFmtId="0" fontId="20" fillId="0" borderId="0" xfId="0" applyFont="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 formatCode="0"/>
    </dxf>
    <dxf>
      <numFmt numFmtId="1" formatCode="0"/>
    </dxf>
    <dxf>
      <numFmt numFmtId="12" formatCode="&quot;$&quot;#,##0.00_);[Red]\(&quot;$&quot;#,##0.00\)"/>
    </dxf>
    <dxf>
      <numFmt numFmtId="12" formatCode="&quot;$&quot;#,##0.00_);[Red]\(&quot;$&quot;#,##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Analysis!PivotTable1</c:name>
    <c:fmtId val="2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Volume and Average Engagement Rate by Platform Across Categories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2D050"/>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rgbClr val="00B0F0"/>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rgbClr val="00B0F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Analysis'!$B$4</c:f>
              <c:strCache>
                <c:ptCount val="1"/>
                <c:pt idx="0">
                  <c:v>Sum of Product Sales</c:v>
                </c:pt>
              </c:strCache>
            </c:strRef>
          </c:tx>
          <c:spPr>
            <a:solidFill>
              <a:srgbClr val="92D050"/>
            </a:solidFill>
            <a:ln w="9525" cap="flat" cmpd="sng" algn="ctr">
              <a:solidFill>
                <a:schemeClr val="accent1">
                  <a:shade val="95000"/>
                </a:schemeClr>
              </a:solidFill>
              <a:round/>
            </a:ln>
            <a:effectLst/>
          </c:spPr>
          <c:invertIfNegative val="0"/>
          <c:cat>
            <c:multiLvlStrRef>
              <c:f>'Data Analysis'!$A$5:$A$40</c:f>
              <c:multiLvlStrCache>
                <c:ptCount val="28"/>
                <c:lvl>
                  <c:pt idx="0">
                    <c:v>YouTube</c:v>
                  </c:pt>
                  <c:pt idx="1">
                    <c:v>Instagram</c:v>
                  </c:pt>
                  <c:pt idx="2">
                    <c:v>TikTok</c:v>
                  </c:pt>
                  <c:pt idx="3">
                    <c:v>Twitter</c:v>
                  </c:pt>
                  <c:pt idx="4">
                    <c:v>Instagram</c:v>
                  </c:pt>
                  <c:pt idx="5">
                    <c:v>YouTube</c:v>
                  </c:pt>
                  <c:pt idx="6">
                    <c:v>TikTok</c:v>
                  </c:pt>
                  <c:pt idx="7">
                    <c:v>Twitter</c:v>
                  </c:pt>
                  <c:pt idx="8">
                    <c:v>Instagram</c:v>
                  </c:pt>
                  <c:pt idx="9">
                    <c:v>YouTube</c:v>
                  </c:pt>
                  <c:pt idx="10">
                    <c:v>TikTok</c:v>
                  </c:pt>
                  <c:pt idx="11">
                    <c:v>Twitter</c:v>
                  </c:pt>
                  <c:pt idx="12">
                    <c:v>Instagram</c:v>
                  </c:pt>
                  <c:pt idx="13">
                    <c:v>YouTube</c:v>
                  </c:pt>
                  <c:pt idx="14">
                    <c:v>TikTok</c:v>
                  </c:pt>
                  <c:pt idx="15">
                    <c:v>Twitter</c:v>
                  </c:pt>
                  <c:pt idx="16">
                    <c:v>Instagram</c:v>
                  </c:pt>
                  <c:pt idx="17">
                    <c:v>YouTube</c:v>
                  </c:pt>
                  <c:pt idx="18">
                    <c:v>TikTok</c:v>
                  </c:pt>
                  <c:pt idx="19">
                    <c:v>Twitter</c:v>
                  </c:pt>
                  <c:pt idx="20">
                    <c:v>Instagram</c:v>
                  </c:pt>
                  <c:pt idx="21">
                    <c:v>YouTube</c:v>
                  </c:pt>
                  <c:pt idx="22">
                    <c:v>TikTok</c:v>
                  </c:pt>
                  <c:pt idx="23">
                    <c:v>Twitter</c:v>
                  </c:pt>
                  <c:pt idx="24">
                    <c:v>Instagram</c:v>
                  </c:pt>
                  <c:pt idx="25">
                    <c:v>YouTube</c:v>
                  </c:pt>
                  <c:pt idx="26">
                    <c:v>TikTok</c:v>
                  </c:pt>
                  <c:pt idx="27">
                    <c:v>Twitter</c:v>
                  </c:pt>
                </c:lvl>
                <c:lvl>
                  <c:pt idx="0">
                    <c:v>Beauty</c:v>
                  </c:pt>
                  <c:pt idx="4">
                    <c:v>Fashion</c:v>
                  </c:pt>
                  <c:pt idx="8">
                    <c:v>Fitness</c:v>
                  </c:pt>
                  <c:pt idx="12">
                    <c:v>Food</c:v>
                  </c:pt>
                  <c:pt idx="16">
                    <c:v>Gaming</c:v>
                  </c:pt>
                  <c:pt idx="20">
                    <c:v>Tech</c:v>
                  </c:pt>
                  <c:pt idx="24">
                    <c:v>Travel</c:v>
                  </c:pt>
                </c:lvl>
              </c:multiLvlStrCache>
            </c:multiLvlStrRef>
          </c:cat>
          <c:val>
            <c:numRef>
              <c:f>'Data Analysis'!$B$5:$B$40</c:f>
              <c:numCache>
                <c:formatCode>"$"#,##0_);[Red]\("$"#,##0\)</c:formatCode>
                <c:ptCount val="28"/>
                <c:pt idx="0">
                  <c:v>148233</c:v>
                </c:pt>
                <c:pt idx="1">
                  <c:v>140378</c:v>
                </c:pt>
                <c:pt idx="2">
                  <c:v>125250</c:v>
                </c:pt>
                <c:pt idx="3">
                  <c:v>50550</c:v>
                </c:pt>
                <c:pt idx="4">
                  <c:v>204164</c:v>
                </c:pt>
                <c:pt idx="5">
                  <c:v>145598</c:v>
                </c:pt>
                <c:pt idx="6">
                  <c:v>83067</c:v>
                </c:pt>
                <c:pt idx="7">
                  <c:v>30946</c:v>
                </c:pt>
                <c:pt idx="8">
                  <c:v>186379</c:v>
                </c:pt>
                <c:pt idx="9">
                  <c:v>157450</c:v>
                </c:pt>
                <c:pt idx="10">
                  <c:v>69055</c:v>
                </c:pt>
                <c:pt idx="11">
                  <c:v>66296</c:v>
                </c:pt>
                <c:pt idx="12">
                  <c:v>179586</c:v>
                </c:pt>
                <c:pt idx="13">
                  <c:v>165224</c:v>
                </c:pt>
                <c:pt idx="14">
                  <c:v>92077</c:v>
                </c:pt>
                <c:pt idx="15">
                  <c:v>54801</c:v>
                </c:pt>
                <c:pt idx="16">
                  <c:v>176105</c:v>
                </c:pt>
                <c:pt idx="17">
                  <c:v>112251</c:v>
                </c:pt>
                <c:pt idx="18">
                  <c:v>76215</c:v>
                </c:pt>
                <c:pt idx="19">
                  <c:v>48100</c:v>
                </c:pt>
                <c:pt idx="20">
                  <c:v>187171</c:v>
                </c:pt>
                <c:pt idx="21">
                  <c:v>125355</c:v>
                </c:pt>
                <c:pt idx="22">
                  <c:v>109946</c:v>
                </c:pt>
                <c:pt idx="23">
                  <c:v>54875</c:v>
                </c:pt>
                <c:pt idx="24">
                  <c:v>240464</c:v>
                </c:pt>
                <c:pt idx="25">
                  <c:v>113038</c:v>
                </c:pt>
                <c:pt idx="26">
                  <c:v>102609</c:v>
                </c:pt>
                <c:pt idx="27">
                  <c:v>36574</c:v>
                </c:pt>
              </c:numCache>
            </c:numRef>
          </c:val>
          <c:extLst>
            <c:ext xmlns:c16="http://schemas.microsoft.com/office/drawing/2014/chart" uri="{C3380CC4-5D6E-409C-BE32-E72D297353CC}">
              <c16:uniqueId val="{00000000-AB52-41CB-AAD0-5DAA51BCD61D}"/>
            </c:ext>
          </c:extLst>
        </c:ser>
        <c:dLbls>
          <c:showLegendKey val="0"/>
          <c:showVal val="0"/>
          <c:showCatName val="0"/>
          <c:showSerName val="0"/>
          <c:showPercent val="0"/>
          <c:showBubbleSize val="0"/>
        </c:dLbls>
        <c:gapWidth val="219"/>
        <c:axId val="1211951663"/>
        <c:axId val="1211952143"/>
      </c:barChart>
      <c:lineChart>
        <c:grouping val="standard"/>
        <c:varyColors val="0"/>
        <c:ser>
          <c:idx val="1"/>
          <c:order val="1"/>
          <c:tx>
            <c:strRef>
              <c:f>'Data Analysis'!$C$4</c:f>
              <c:strCache>
                <c:ptCount val="1"/>
                <c:pt idx="0">
                  <c:v>Average of Engagement Rate</c:v>
                </c:pt>
              </c:strCache>
            </c:strRef>
          </c:tx>
          <c:spPr>
            <a:ln w="15875" cap="rnd">
              <a:solidFill>
                <a:srgbClr val="00B0F0"/>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rgbClr val="00B0F0"/>
                </a:solidFill>
                <a:round/>
              </a:ln>
              <a:effectLst/>
            </c:spPr>
          </c:marker>
          <c:cat>
            <c:multiLvlStrRef>
              <c:f>'Data Analysis'!$A$5:$A$40</c:f>
              <c:multiLvlStrCache>
                <c:ptCount val="28"/>
                <c:lvl>
                  <c:pt idx="0">
                    <c:v>YouTube</c:v>
                  </c:pt>
                  <c:pt idx="1">
                    <c:v>Instagram</c:v>
                  </c:pt>
                  <c:pt idx="2">
                    <c:v>TikTok</c:v>
                  </c:pt>
                  <c:pt idx="3">
                    <c:v>Twitter</c:v>
                  </c:pt>
                  <c:pt idx="4">
                    <c:v>Instagram</c:v>
                  </c:pt>
                  <c:pt idx="5">
                    <c:v>YouTube</c:v>
                  </c:pt>
                  <c:pt idx="6">
                    <c:v>TikTok</c:v>
                  </c:pt>
                  <c:pt idx="7">
                    <c:v>Twitter</c:v>
                  </c:pt>
                  <c:pt idx="8">
                    <c:v>Instagram</c:v>
                  </c:pt>
                  <c:pt idx="9">
                    <c:v>YouTube</c:v>
                  </c:pt>
                  <c:pt idx="10">
                    <c:v>TikTok</c:v>
                  </c:pt>
                  <c:pt idx="11">
                    <c:v>Twitter</c:v>
                  </c:pt>
                  <c:pt idx="12">
                    <c:v>Instagram</c:v>
                  </c:pt>
                  <c:pt idx="13">
                    <c:v>YouTube</c:v>
                  </c:pt>
                  <c:pt idx="14">
                    <c:v>TikTok</c:v>
                  </c:pt>
                  <c:pt idx="15">
                    <c:v>Twitter</c:v>
                  </c:pt>
                  <c:pt idx="16">
                    <c:v>Instagram</c:v>
                  </c:pt>
                  <c:pt idx="17">
                    <c:v>YouTube</c:v>
                  </c:pt>
                  <c:pt idx="18">
                    <c:v>TikTok</c:v>
                  </c:pt>
                  <c:pt idx="19">
                    <c:v>Twitter</c:v>
                  </c:pt>
                  <c:pt idx="20">
                    <c:v>Instagram</c:v>
                  </c:pt>
                  <c:pt idx="21">
                    <c:v>YouTube</c:v>
                  </c:pt>
                  <c:pt idx="22">
                    <c:v>TikTok</c:v>
                  </c:pt>
                  <c:pt idx="23">
                    <c:v>Twitter</c:v>
                  </c:pt>
                  <c:pt idx="24">
                    <c:v>Instagram</c:v>
                  </c:pt>
                  <c:pt idx="25">
                    <c:v>YouTube</c:v>
                  </c:pt>
                  <c:pt idx="26">
                    <c:v>TikTok</c:v>
                  </c:pt>
                  <c:pt idx="27">
                    <c:v>Twitter</c:v>
                  </c:pt>
                </c:lvl>
                <c:lvl>
                  <c:pt idx="0">
                    <c:v>Beauty</c:v>
                  </c:pt>
                  <c:pt idx="4">
                    <c:v>Fashion</c:v>
                  </c:pt>
                  <c:pt idx="8">
                    <c:v>Fitness</c:v>
                  </c:pt>
                  <c:pt idx="12">
                    <c:v>Food</c:v>
                  </c:pt>
                  <c:pt idx="16">
                    <c:v>Gaming</c:v>
                  </c:pt>
                  <c:pt idx="20">
                    <c:v>Tech</c:v>
                  </c:pt>
                  <c:pt idx="24">
                    <c:v>Travel</c:v>
                  </c:pt>
                </c:lvl>
              </c:multiLvlStrCache>
            </c:multiLvlStrRef>
          </c:cat>
          <c:val>
            <c:numRef>
              <c:f>'Data Analysis'!$C$5:$C$40</c:f>
              <c:numCache>
                <c:formatCode>0.00%</c:formatCode>
                <c:ptCount val="28"/>
                <c:pt idx="0">
                  <c:v>0.2485222222222222</c:v>
                </c:pt>
                <c:pt idx="1">
                  <c:v>0.29338999999999998</c:v>
                </c:pt>
                <c:pt idx="2">
                  <c:v>0.23146521739130427</c:v>
                </c:pt>
                <c:pt idx="3">
                  <c:v>0.30015000000000003</c:v>
                </c:pt>
                <c:pt idx="4">
                  <c:v>0.12815421686746986</c:v>
                </c:pt>
                <c:pt idx="5">
                  <c:v>0.2419763636363636</c:v>
                </c:pt>
                <c:pt idx="6">
                  <c:v>0.11993333333333332</c:v>
                </c:pt>
                <c:pt idx="7">
                  <c:v>2.4477153846153845</c:v>
                </c:pt>
                <c:pt idx="8">
                  <c:v>0.3383613333333334</c:v>
                </c:pt>
                <c:pt idx="9">
                  <c:v>0.18733125</c:v>
                </c:pt>
                <c:pt idx="10">
                  <c:v>1.6355529411764707</c:v>
                </c:pt>
                <c:pt idx="11">
                  <c:v>9.6845833333333367E-2</c:v>
                </c:pt>
                <c:pt idx="12">
                  <c:v>0.31625070422535217</c:v>
                </c:pt>
                <c:pt idx="13">
                  <c:v>0.26784285714285716</c:v>
                </c:pt>
                <c:pt idx="14">
                  <c:v>0.21479749999999997</c:v>
                </c:pt>
                <c:pt idx="15">
                  <c:v>0.20020000000000004</c:v>
                </c:pt>
                <c:pt idx="16">
                  <c:v>0.1521529411764706</c:v>
                </c:pt>
                <c:pt idx="17">
                  <c:v>0.30695714285714293</c:v>
                </c:pt>
                <c:pt idx="18">
                  <c:v>0.18419333333333332</c:v>
                </c:pt>
                <c:pt idx="19">
                  <c:v>0.14113333333333333</c:v>
                </c:pt>
                <c:pt idx="20">
                  <c:v>0.13940126582278489</c:v>
                </c:pt>
                <c:pt idx="21">
                  <c:v>0.18650444444444444</c:v>
                </c:pt>
                <c:pt idx="22">
                  <c:v>0.37091860465116294</c:v>
                </c:pt>
                <c:pt idx="23">
                  <c:v>0.50809000000000004</c:v>
                </c:pt>
                <c:pt idx="24">
                  <c:v>0.50023333333333364</c:v>
                </c:pt>
                <c:pt idx="25">
                  <c:v>0.18963333333333335</c:v>
                </c:pt>
                <c:pt idx="26">
                  <c:v>0.26175813953488369</c:v>
                </c:pt>
                <c:pt idx="27">
                  <c:v>0.23931428571428567</c:v>
                </c:pt>
              </c:numCache>
            </c:numRef>
          </c:val>
          <c:smooth val="0"/>
          <c:extLst>
            <c:ext xmlns:c16="http://schemas.microsoft.com/office/drawing/2014/chart" uri="{C3380CC4-5D6E-409C-BE32-E72D297353CC}">
              <c16:uniqueId val="{00000001-AB52-41CB-AAD0-5DAA51BCD61D}"/>
            </c:ext>
          </c:extLst>
        </c:ser>
        <c:dLbls>
          <c:showLegendKey val="0"/>
          <c:showVal val="0"/>
          <c:showCatName val="0"/>
          <c:showSerName val="0"/>
          <c:showPercent val="0"/>
          <c:showBubbleSize val="0"/>
        </c:dLbls>
        <c:marker val="1"/>
        <c:smooth val="0"/>
        <c:axId val="1276787535"/>
        <c:axId val="1276790415"/>
      </c:lineChart>
      <c:catAx>
        <c:axId val="121195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1952143"/>
        <c:crosses val="autoZero"/>
        <c:auto val="1"/>
        <c:lblAlgn val="ctr"/>
        <c:lblOffset val="100"/>
        <c:noMultiLvlLbl val="0"/>
      </c:catAx>
      <c:valAx>
        <c:axId val="121195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1951663"/>
        <c:crosses val="autoZero"/>
        <c:crossBetween val="between"/>
      </c:valAx>
      <c:valAx>
        <c:axId val="127679041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76787535"/>
        <c:crosses val="max"/>
        <c:crossBetween val="between"/>
      </c:valAx>
      <c:catAx>
        <c:axId val="1276787535"/>
        <c:scaling>
          <c:orientation val="minMax"/>
        </c:scaling>
        <c:delete val="1"/>
        <c:axPos val="b"/>
        <c:numFmt formatCode="General" sourceLinked="1"/>
        <c:majorTickMark val="none"/>
        <c:minorTickMark val="none"/>
        <c:tickLblPos val="nextTo"/>
        <c:crossAx val="12767904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Number of Campaign Types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Analysis'!$J$4</c:f>
              <c:strCache>
                <c:ptCount val="1"/>
                <c:pt idx="0">
                  <c:v>Total</c:v>
                </c:pt>
              </c:strCache>
            </c:strRef>
          </c:tx>
          <c:spPr>
            <a:solidFill>
              <a:srgbClr val="00B0F0"/>
            </a:solidFill>
            <a:ln>
              <a:noFill/>
            </a:ln>
            <a:effectLst/>
          </c:spPr>
          <c:invertIfNegative val="0"/>
          <c:cat>
            <c:multiLvlStrRef>
              <c:f>'Data Analysis'!$I$5:$I$47</c:f>
              <c:multiLvlStrCache>
                <c:ptCount val="35"/>
                <c:lvl>
                  <c:pt idx="0">
                    <c:v>Product Launch</c:v>
                  </c:pt>
                  <c:pt idx="1">
                    <c:v>Giveaway</c:v>
                  </c:pt>
                  <c:pt idx="2">
                    <c:v>Seasonal Sale</c:v>
                  </c:pt>
                  <c:pt idx="3">
                    <c:v>Event Promotion</c:v>
                  </c:pt>
                  <c:pt idx="4">
                    <c:v>Brand Awareness</c:v>
                  </c:pt>
                  <c:pt idx="5">
                    <c:v>Seasonal Sale</c:v>
                  </c:pt>
                  <c:pt idx="6">
                    <c:v>Giveaway</c:v>
                  </c:pt>
                  <c:pt idx="7">
                    <c:v>Brand Awareness</c:v>
                  </c:pt>
                  <c:pt idx="8">
                    <c:v>Product Launch</c:v>
                  </c:pt>
                  <c:pt idx="9">
                    <c:v>Event Promotion</c:v>
                  </c:pt>
                  <c:pt idx="10">
                    <c:v>Product Launch</c:v>
                  </c:pt>
                  <c:pt idx="11">
                    <c:v>Seasonal Sale</c:v>
                  </c:pt>
                  <c:pt idx="12">
                    <c:v>Event Promotion</c:v>
                  </c:pt>
                  <c:pt idx="13">
                    <c:v>Giveaway</c:v>
                  </c:pt>
                  <c:pt idx="14">
                    <c:v>Brand Awareness</c:v>
                  </c:pt>
                  <c:pt idx="15">
                    <c:v>Product Launch</c:v>
                  </c:pt>
                  <c:pt idx="16">
                    <c:v>Event Promotion</c:v>
                  </c:pt>
                  <c:pt idx="17">
                    <c:v>Brand Awareness</c:v>
                  </c:pt>
                  <c:pt idx="18">
                    <c:v>Giveaway</c:v>
                  </c:pt>
                  <c:pt idx="19">
                    <c:v>Seasonal Sale</c:v>
                  </c:pt>
                  <c:pt idx="20">
                    <c:v>Brand Awareness</c:v>
                  </c:pt>
                  <c:pt idx="21">
                    <c:v>Product Launch</c:v>
                  </c:pt>
                  <c:pt idx="22">
                    <c:v>Event Promotion</c:v>
                  </c:pt>
                  <c:pt idx="23">
                    <c:v>Seasonal Sale</c:v>
                  </c:pt>
                  <c:pt idx="24">
                    <c:v>Giveaway</c:v>
                  </c:pt>
                  <c:pt idx="25">
                    <c:v>Brand Awareness</c:v>
                  </c:pt>
                  <c:pt idx="26">
                    <c:v>Giveaway</c:v>
                  </c:pt>
                  <c:pt idx="27">
                    <c:v>Seasonal Sale</c:v>
                  </c:pt>
                  <c:pt idx="28">
                    <c:v>Event Promotion</c:v>
                  </c:pt>
                  <c:pt idx="29">
                    <c:v>Product Launch</c:v>
                  </c:pt>
                  <c:pt idx="30">
                    <c:v>Brand Awareness</c:v>
                  </c:pt>
                  <c:pt idx="31">
                    <c:v>Event Promotion</c:v>
                  </c:pt>
                  <c:pt idx="32">
                    <c:v>Giveaway</c:v>
                  </c:pt>
                  <c:pt idx="33">
                    <c:v>Product Launch</c:v>
                  </c:pt>
                  <c:pt idx="34">
                    <c:v>Seasonal Sale</c:v>
                  </c:pt>
                </c:lvl>
                <c:lvl>
                  <c:pt idx="0">
                    <c:v>Beauty</c:v>
                  </c:pt>
                  <c:pt idx="5">
                    <c:v>Fashion</c:v>
                  </c:pt>
                  <c:pt idx="10">
                    <c:v>Fitness</c:v>
                  </c:pt>
                  <c:pt idx="15">
                    <c:v>Food</c:v>
                  </c:pt>
                  <c:pt idx="20">
                    <c:v>Gaming</c:v>
                  </c:pt>
                  <c:pt idx="25">
                    <c:v>Tech</c:v>
                  </c:pt>
                  <c:pt idx="30">
                    <c:v>Travel</c:v>
                  </c:pt>
                </c:lvl>
              </c:multiLvlStrCache>
            </c:multiLvlStrRef>
          </c:cat>
          <c:val>
            <c:numRef>
              <c:f>'Data Analysis'!$J$5:$J$47</c:f>
              <c:numCache>
                <c:formatCode>General</c:formatCode>
                <c:ptCount val="35"/>
                <c:pt idx="0">
                  <c:v>52</c:v>
                </c:pt>
                <c:pt idx="1">
                  <c:v>46</c:v>
                </c:pt>
                <c:pt idx="2">
                  <c:v>37</c:v>
                </c:pt>
                <c:pt idx="3">
                  <c:v>33</c:v>
                </c:pt>
                <c:pt idx="4">
                  <c:v>31</c:v>
                </c:pt>
                <c:pt idx="5">
                  <c:v>46</c:v>
                </c:pt>
                <c:pt idx="6">
                  <c:v>42</c:v>
                </c:pt>
                <c:pt idx="7">
                  <c:v>37</c:v>
                </c:pt>
                <c:pt idx="8">
                  <c:v>33</c:v>
                </c:pt>
                <c:pt idx="9">
                  <c:v>29</c:v>
                </c:pt>
                <c:pt idx="10">
                  <c:v>44</c:v>
                </c:pt>
                <c:pt idx="11">
                  <c:v>40</c:v>
                </c:pt>
                <c:pt idx="12">
                  <c:v>39</c:v>
                </c:pt>
                <c:pt idx="13">
                  <c:v>39</c:v>
                </c:pt>
                <c:pt idx="14">
                  <c:v>35</c:v>
                </c:pt>
                <c:pt idx="15">
                  <c:v>46</c:v>
                </c:pt>
                <c:pt idx="16">
                  <c:v>42</c:v>
                </c:pt>
                <c:pt idx="17">
                  <c:v>40</c:v>
                </c:pt>
                <c:pt idx="18">
                  <c:v>40</c:v>
                </c:pt>
                <c:pt idx="19">
                  <c:v>35</c:v>
                </c:pt>
                <c:pt idx="20">
                  <c:v>38</c:v>
                </c:pt>
                <c:pt idx="21">
                  <c:v>37</c:v>
                </c:pt>
                <c:pt idx="22">
                  <c:v>37</c:v>
                </c:pt>
                <c:pt idx="23">
                  <c:v>28</c:v>
                </c:pt>
                <c:pt idx="24">
                  <c:v>25</c:v>
                </c:pt>
                <c:pt idx="25">
                  <c:v>45</c:v>
                </c:pt>
                <c:pt idx="26">
                  <c:v>39</c:v>
                </c:pt>
                <c:pt idx="27">
                  <c:v>38</c:v>
                </c:pt>
                <c:pt idx="28">
                  <c:v>34</c:v>
                </c:pt>
                <c:pt idx="29">
                  <c:v>31</c:v>
                </c:pt>
                <c:pt idx="30">
                  <c:v>47</c:v>
                </c:pt>
                <c:pt idx="31">
                  <c:v>41</c:v>
                </c:pt>
                <c:pt idx="32">
                  <c:v>40</c:v>
                </c:pt>
                <c:pt idx="33">
                  <c:v>38</c:v>
                </c:pt>
                <c:pt idx="34">
                  <c:v>32</c:v>
                </c:pt>
              </c:numCache>
            </c:numRef>
          </c:val>
          <c:extLst>
            <c:ext xmlns:c16="http://schemas.microsoft.com/office/drawing/2014/chart" uri="{C3380CC4-5D6E-409C-BE32-E72D297353CC}">
              <c16:uniqueId val="{00000000-ADBB-4B05-954B-61536107790D}"/>
            </c:ext>
          </c:extLst>
        </c:ser>
        <c:dLbls>
          <c:showLegendKey val="0"/>
          <c:showVal val="0"/>
          <c:showCatName val="0"/>
          <c:showSerName val="0"/>
          <c:showPercent val="0"/>
          <c:showBubbleSize val="0"/>
        </c:dLbls>
        <c:gapWidth val="75"/>
        <c:overlap val="-25"/>
        <c:axId val="1772017791"/>
        <c:axId val="1769019343"/>
      </c:barChart>
      <c:catAx>
        <c:axId val="177201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019343"/>
        <c:crosses val="autoZero"/>
        <c:auto val="1"/>
        <c:lblAlgn val="ctr"/>
        <c:lblOffset val="100"/>
        <c:noMultiLvlLbl val="0"/>
      </c:catAx>
      <c:valAx>
        <c:axId val="17690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1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Analysis!PivotTable3</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Number of Campaigns Executed by Platform</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'Data Analysis'!$M$4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D1C-4BE8-A6E2-A0AABD71A1A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D1C-4BE8-A6E2-A0AABD71A1A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D1C-4BE8-A6E2-A0AABD71A1A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D1C-4BE8-A6E2-A0AABD71A1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 Analysis'!$L$5:$L$9</c:f>
              <c:strCache>
                <c:ptCount val="4"/>
                <c:pt idx="0">
                  <c:v>Instagram</c:v>
                </c:pt>
                <c:pt idx="1">
                  <c:v>TikTok</c:v>
                </c:pt>
                <c:pt idx="2">
                  <c:v>Twitter</c:v>
                </c:pt>
                <c:pt idx="3">
                  <c:v>YouTube</c:v>
                </c:pt>
              </c:strCache>
            </c:strRef>
          </c:cat>
          <c:val>
            <c:numRef>
              <c:f>'Data Analysis'!$M$5:$M$9</c:f>
              <c:numCache>
                <c:formatCode>General</c:formatCode>
                <c:ptCount val="4"/>
                <c:pt idx="0">
                  <c:v>536</c:v>
                </c:pt>
                <c:pt idx="1">
                  <c:v>272</c:v>
                </c:pt>
                <c:pt idx="2">
                  <c:v>131</c:v>
                </c:pt>
                <c:pt idx="3">
                  <c:v>397</c:v>
                </c:pt>
              </c:numCache>
            </c:numRef>
          </c:val>
          <c:extLst>
            <c:ext xmlns:c16="http://schemas.microsoft.com/office/drawing/2014/chart" uri="{C3380CC4-5D6E-409C-BE32-E72D297353CC}">
              <c16:uniqueId val="{00000008-5D1C-4BE8-A6E2-A0AABD71A1A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Volume by Quarter Across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Analysis'!$M$14</c:f>
              <c:strCache>
                <c:ptCount val="1"/>
                <c:pt idx="0">
                  <c:v>Total</c:v>
                </c:pt>
              </c:strCache>
            </c:strRef>
          </c:tx>
          <c:spPr>
            <a:solidFill>
              <a:srgbClr val="00B0F0"/>
            </a:solidFill>
            <a:ln>
              <a:noFill/>
            </a:ln>
            <a:effectLst/>
          </c:spPr>
          <c:invertIfNegative val="0"/>
          <c:cat>
            <c:multiLvlStrRef>
              <c:f>'Data Analysis'!$L$15:$L$34</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2022</c:v>
                  </c:pt>
                  <c:pt idx="4">
                    <c:v>2023</c:v>
                  </c:pt>
                  <c:pt idx="8">
                    <c:v>2024</c:v>
                  </c:pt>
                  <c:pt idx="12">
                    <c:v>2025</c:v>
                  </c:pt>
                </c:lvl>
              </c:multiLvlStrCache>
            </c:multiLvlStrRef>
          </c:cat>
          <c:val>
            <c:numRef>
              <c:f>'Data Analysis'!$M$15:$M$34</c:f>
              <c:numCache>
                <c:formatCode>"$"#,##0_);[Red]\("$"#,##0\)</c:formatCode>
                <c:ptCount val="15"/>
                <c:pt idx="0">
                  <c:v>216818</c:v>
                </c:pt>
                <c:pt idx="1">
                  <c:v>232907</c:v>
                </c:pt>
                <c:pt idx="2">
                  <c:v>230679</c:v>
                </c:pt>
                <c:pt idx="3">
                  <c:v>230699</c:v>
                </c:pt>
                <c:pt idx="4">
                  <c:v>196013</c:v>
                </c:pt>
                <c:pt idx="5">
                  <c:v>188865</c:v>
                </c:pt>
                <c:pt idx="6">
                  <c:v>227638</c:v>
                </c:pt>
                <c:pt idx="7">
                  <c:v>237848</c:v>
                </c:pt>
                <c:pt idx="8">
                  <c:v>232149</c:v>
                </c:pt>
                <c:pt idx="9">
                  <c:v>209559</c:v>
                </c:pt>
                <c:pt idx="10">
                  <c:v>251394</c:v>
                </c:pt>
                <c:pt idx="11">
                  <c:v>222828</c:v>
                </c:pt>
                <c:pt idx="12">
                  <c:v>221639</c:v>
                </c:pt>
                <c:pt idx="13">
                  <c:v>231097</c:v>
                </c:pt>
                <c:pt idx="14">
                  <c:v>151624</c:v>
                </c:pt>
              </c:numCache>
            </c:numRef>
          </c:val>
          <c:extLst>
            <c:ext xmlns:c16="http://schemas.microsoft.com/office/drawing/2014/chart" uri="{C3380CC4-5D6E-409C-BE32-E72D297353CC}">
              <c16:uniqueId val="{00000000-5671-4CAD-BA7C-4DFC8F4280E5}"/>
            </c:ext>
          </c:extLst>
        </c:ser>
        <c:dLbls>
          <c:showLegendKey val="0"/>
          <c:showVal val="0"/>
          <c:showCatName val="0"/>
          <c:showSerName val="0"/>
          <c:showPercent val="0"/>
          <c:showBubbleSize val="0"/>
        </c:dLbls>
        <c:gapWidth val="182"/>
        <c:axId val="1553461360"/>
        <c:axId val="1553462320"/>
      </c:barChart>
      <c:catAx>
        <c:axId val="155346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62320"/>
        <c:crosses val="autoZero"/>
        <c:auto val="1"/>
        <c:lblAlgn val="ctr"/>
        <c:lblOffset val="100"/>
        <c:noMultiLvlLbl val="0"/>
      </c:catAx>
      <c:valAx>
        <c:axId val="15534623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46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Analysis!PivotTable5</c:name>
    <c:fmtId val="1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metrics per category for Sales per 1000 Reach and Daily Engagement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00B0F0"/>
            </a:solidFill>
            <a:round/>
          </a:ln>
          <a:effectLst/>
        </c:spPr>
        <c:marker>
          <c:symbol val="circle"/>
          <c:size val="6"/>
          <c:spPr>
            <a:solidFill>
              <a:schemeClr val="lt1"/>
            </a:solidFill>
            <a:ln w="15875">
              <a:solidFill>
                <a:srgbClr val="00B0F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'Data Analysis'!$R$4</c:f>
              <c:strCache>
                <c:ptCount val="1"/>
                <c:pt idx="0">
                  <c:v>Average of Engagement  Per  Day</c:v>
                </c:pt>
              </c:strCache>
            </c:strRef>
          </c:tx>
          <c:spPr>
            <a:solidFill>
              <a:srgbClr val="92D050"/>
            </a:solidFill>
            <a:ln>
              <a:noFill/>
            </a:ln>
            <a:effectLst/>
          </c:spPr>
          <c:invertIfNegative val="0"/>
          <c:cat>
            <c:strRef>
              <c:f>'Data Analysis'!$P$5:$P$12</c:f>
              <c:strCache>
                <c:ptCount val="7"/>
                <c:pt idx="0">
                  <c:v>Beauty</c:v>
                </c:pt>
                <c:pt idx="1">
                  <c:v>Fashion</c:v>
                </c:pt>
                <c:pt idx="2">
                  <c:v>Fitness</c:v>
                </c:pt>
                <c:pt idx="3">
                  <c:v>Food</c:v>
                </c:pt>
                <c:pt idx="4">
                  <c:v>Gaming</c:v>
                </c:pt>
                <c:pt idx="5">
                  <c:v>Tech</c:v>
                </c:pt>
                <c:pt idx="6">
                  <c:v>Travel</c:v>
                </c:pt>
              </c:strCache>
            </c:strRef>
          </c:cat>
          <c:val>
            <c:numRef>
              <c:f>'Data Analysis'!$R$5:$R$12</c:f>
              <c:numCache>
                <c:formatCode>0</c:formatCode>
                <c:ptCount val="7"/>
                <c:pt idx="0">
                  <c:v>7520.4489820030685</c:v>
                </c:pt>
                <c:pt idx="1">
                  <c:v>5243.4762503930015</c:v>
                </c:pt>
                <c:pt idx="2">
                  <c:v>5055.1388035503624</c:v>
                </c:pt>
                <c:pt idx="3">
                  <c:v>7478.3856543034181</c:v>
                </c:pt>
                <c:pt idx="4">
                  <c:v>6825.0677592166448</c:v>
                </c:pt>
                <c:pt idx="5">
                  <c:v>7155.5283953108092</c:v>
                </c:pt>
                <c:pt idx="6">
                  <c:v>5868.0061825445346</c:v>
                </c:pt>
              </c:numCache>
            </c:numRef>
          </c:val>
          <c:extLst>
            <c:ext xmlns:c16="http://schemas.microsoft.com/office/drawing/2014/chart" uri="{C3380CC4-5D6E-409C-BE32-E72D297353CC}">
              <c16:uniqueId val="{00000000-5816-43F1-BE1F-C61A35796C6B}"/>
            </c:ext>
          </c:extLst>
        </c:ser>
        <c:dLbls>
          <c:showLegendKey val="0"/>
          <c:showVal val="0"/>
          <c:showCatName val="0"/>
          <c:showSerName val="0"/>
          <c:showPercent val="0"/>
          <c:showBubbleSize val="0"/>
        </c:dLbls>
        <c:gapWidth val="247"/>
        <c:axId val="1551735760"/>
        <c:axId val="1268355519"/>
      </c:barChart>
      <c:lineChart>
        <c:grouping val="standard"/>
        <c:varyColors val="0"/>
        <c:ser>
          <c:idx val="0"/>
          <c:order val="0"/>
          <c:tx>
            <c:strRef>
              <c:f>'Data Analysis'!$Q$4</c:f>
              <c:strCache>
                <c:ptCount val="1"/>
                <c:pt idx="0">
                  <c:v>Average of Sales Per 1000 Reach</c:v>
                </c:pt>
              </c:strCache>
            </c:strRef>
          </c:tx>
          <c:spPr>
            <a:ln w="22225" cap="rnd">
              <a:solidFill>
                <a:srgbClr val="00B0F0"/>
              </a:solidFill>
              <a:round/>
            </a:ln>
            <a:effectLst/>
          </c:spPr>
          <c:marker>
            <c:symbol val="circle"/>
            <c:size val="6"/>
            <c:spPr>
              <a:solidFill>
                <a:schemeClr val="lt1"/>
              </a:solidFill>
              <a:ln w="15875">
                <a:solidFill>
                  <a:srgbClr val="00B0F0"/>
                </a:solidFill>
                <a:round/>
              </a:ln>
              <a:effectLst/>
            </c:spPr>
          </c:marker>
          <c:cat>
            <c:strRef>
              <c:f>'Data Analysis'!$P$5:$P$12</c:f>
              <c:strCache>
                <c:ptCount val="7"/>
                <c:pt idx="0">
                  <c:v>Beauty</c:v>
                </c:pt>
                <c:pt idx="1">
                  <c:v>Fashion</c:v>
                </c:pt>
                <c:pt idx="2">
                  <c:v>Fitness</c:v>
                </c:pt>
                <c:pt idx="3">
                  <c:v>Food</c:v>
                </c:pt>
                <c:pt idx="4">
                  <c:v>Gaming</c:v>
                </c:pt>
                <c:pt idx="5">
                  <c:v>Tech</c:v>
                </c:pt>
                <c:pt idx="6">
                  <c:v>Travel</c:v>
                </c:pt>
              </c:strCache>
            </c:strRef>
          </c:cat>
          <c:val>
            <c:numRef>
              <c:f>'Data Analysis'!$Q$5:$Q$12</c:f>
              <c:numCache>
                <c:formatCode>"$"#,##0.00_);[Red]\("$"#,##0.00\)</c:formatCode>
                <c:ptCount val="7"/>
                <c:pt idx="0">
                  <c:v>21.301931468002412</c:v>
                </c:pt>
                <c:pt idx="1">
                  <c:v>17.650579201200028</c:v>
                </c:pt>
                <c:pt idx="2">
                  <c:v>18.154690941483668</c:v>
                </c:pt>
                <c:pt idx="3">
                  <c:v>13.918370717027239</c:v>
                </c:pt>
                <c:pt idx="4">
                  <c:v>13.645835601210484</c:v>
                </c:pt>
                <c:pt idx="5">
                  <c:v>12.234956303551789</c:v>
                </c:pt>
                <c:pt idx="6">
                  <c:v>17.235886248225686</c:v>
                </c:pt>
              </c:numCache>
            </c:numRef>
          </c:val>
          <c:smooth val="0"/>
          <c:extLst>
            <c:ext xmlns:c16="http://schemas.microsoft.com/office/drawing/2014/chart" uri="{C3380CC4-5D6E-409C-BE32-E72D297353CC}">
              <c16:uniqueId val="{00000001-5816-43F1-BE1F-C61A35796C6B}"/>
            </c:ext>
          </c:extLst>
        </c:ser>
        <c:dLbls>
          <c:showLegendKey val="0"/>
          <c:showVal val="0"/>
          <c:showCatName val="0"/>
          <c:showSerName val="0"/>
          <c:showPercent val="0"/>
          <c:showBubbleSize val="0"/>
        </c:dLbls>
        <c:marker val="1"/>
        <c:smooth val="0"/>
        <c:axId val="1688703615"/>
        <c:axId val="1688705535"/>
      </c:lineChart>
      <c:catAx>
        <c:axId val="15517357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68355519"/>
        <c:crosses val="autoZero"/>
        <c:auto val="1"/>
        <c:lblAlgn val="ctr"/>
        <c:lblOffset val="100"/>
        <c:noMultiLvlLbl val="0"/>
      </c:catAx>
      <c:valAx>
        <c:axId val="1268355519"/>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51735760"/>
        <c:crosses val="autoZero"/>
        <c:crossBetween val="between"/>
      </c:valAx>
      <c:valAx>
        <c:axId val="1688705535"/>
        <c:scaling>
          <c:orientation val="minMax"/>
        </c:scaling>
        <c:delete val="0"/>
        <c:axPos val="r"/>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88703615"/>
        <c:crosses val="max"/>
        <c:crossBetween val="between"/>
      </c:valAx>
      <c:catAx>
        <c:axId val="1688703615"/>
        <c:scaling>
          <c:orientation val="minMax"/>
        </c:scaling>
        <c:delete val="1"/>
        <c:axPos val="b"/>
        <c:numFmt formatCode="General" sourceLinked="1"/>
        <c:majorTickMark val="out"/>
        <c:minorTickMark val="none"/>
        <c:tickLblPos val="nextTo"/>
        <c:crossAx val="1688705535"/>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Analysis!PivotTable7</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Proportion of Counts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Analysis'!$Q$35</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0E44-44EC-9749-D9EFB9F193E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0E44-44EC-9749-D9EFB9F193E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0E44-44EC-9749-D9EFB9F193E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0E44-44EC-9749-D9EFB9F193E1}"/>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0E44-44EC-9749-D9EFB9F193E1}"/>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0E44-44EC-9749-D9EFB9F193E1}"/>
              </c:ext>
            </c:extLst>
          </c:dPt>
          <c:dPt>
            <c:idx val="6"/>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0E44-44EC-9749-D9EFB9F193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 Analysis'!$P$36:$P$43</c:f>
              <c:strCache>
                <c:ptCount val="7"/>
                <c:pt idx="0">
                  <c:v>Food</c:v>
                </c:pt>
                <c:pt idx="1">
                  <c:v>Beauty</c:v>
                </c:pt>
                <c:pt idx="2">
                  <c:v>Travel</c:v>
                </c:pt>
                <c:pt idx="3">
                  <c:v>Fitness</c:v>
                </c:pt>
                <c:pt idx="4">
                  <c:v>Tech</c:v>
                </c:pt>
                <c:pt idx="5">
                  <c:v>Fashion</c:v>
                </c:pt>
                <c:pt idx="6">
                  <c:v>Gaming</c:v>
                </c:pt>
              </c:strCache>
            </c:strRef>
          </c:cat>
          <c:val>
            <c:numRef>
              <c:f>'Data Analysis'!$Q$36:$Q$43</c:f>
              <c:numCache>
                <c:formatCode>General</c:formatCode>
                <c:ptCount val="7"/>
                <c:pt idx="0">
                  <c:v>203</c:v>
                </c:pt>
                <c:pt idx="1">
                  <c:v>199</c:v>
                </c:pt>
                <c:pt idx="2">
                  <c:v>198</c:v>
                </c:pt>
                <c:pt idx="3">
                  <c:v>197</c:v>
                </c:pt>
                <c:pt idx="4">
                  <c:v>187</c:v>
                </c:pt>
                <c:pt idx="5">
                  <c:v>187</c:v>
                </c:pt>
                <c:pt idx="6">
                  <c:v>165</c:v>
                </c:pt>
              </c:numCache>
            </c:numRef>
          </c:val>
          <c:extLst>
            <c:ext xmlns:c16="http://schemas.microsoft.com/office/drawing/2014/chart" uri="{C3380CC4-5D6E-409C-BE32-E72D297353CC}">
              <c16:uniqueId val="{0000000E-0E44-44EC-9749-D9EFB9F193E1}"/>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Analysis!PivotTable6</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Volume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92D05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 Analysis'!$Q$17</c:f>
              <c:strCache>
                <c:ptCount val="1"/>
                <c:pt idx="0">
                  <c:v>Total</c:v>
                </c:pt>
              </c:strCache>
            </c:strRef>
          </c:tx>
          <c:spPr>
            <a:solidFill>
              <a:srgbClr val="92D050"/>
            </a:solidFill>
            <a:ln>
              <a:solidFill>
                <a:srgbClr val="92D050"/>
              </a:solidFill>
            </a:ln>
            <a:effectLst>
              <a:outerShdw blurRad="57150" dist="19050" dir="5400000" algn="ctr" rotWithShape="0">
                <a:srgbClr val="000000">
                  <a:alpha val="63000"/>
                </a:srgbClr>
              </a:outerShdw>
            </a:effectLst>
          </c:spPr>
          <c:invertIfNegative val="0"/>
          <c:cat>
            <c:strRef>
              <c:f>'Data Analysis'!$P$18:$P$30</c:f>
              <c:strCache>
                <c:ptCount val="12"/>
                <c:pt idx="0">
                  <c:v>Jul</c:v>
                </c:pt>
                <c:pt idx="1">
                  <c:v>Aug</c:v>
                </c:pt>
                <c:pt idx="2">
                  <c:v>Mar</c:v>
                </c:pt>
                <c:pt idx="3">
                  <c:v>May</c:v>
                </c:pt>
                <c:pt idx="4">
                  <c:v>Feb</c:v>
                </c:pt>
                <c:pt idx="5">
                  <c:v>Jun</c:v>
                </c:pt>
                <c:pt idx="6">
                  <c:v>Jan</c:v>
                </c:pt>
                <c:pt idx="7">
                  <c:v>Apr</c:v>
                </c:pt>
                <c:pt idx="8">
                  <c:v>Dec</c:v>
                </c:pt>
                <c:pt idx="9">
                  <c:v>Sep</c:v>
                </c:pt>
                <c:pt idx="10">
                  <c:v>Nov</c:v>
                </c:pt>
                <c:pt idx="11">
                  <c:v>Oct</c:v>
                </c:pt>
              </c:strCache>
            </c:strRef>
          </c:cat>
          <c:val>
            <c:numRef>
              <c:f>'Data Analysis'!$Q$18:$Q$30</c:f>
              <c:numCache>
                <c:formatCode>"$"#,##0_);[Red]\("$"#,##0\)</c:formatCode>
                <c:ptCount val="12"/>
                <c:pt idx="0">
                  <c:v>319732</c:v>
                </c:pt>
                <c:pt idx="1">
                  <c:v>308081</c:v>
                </c:pt>
                <c:pt idx="2">
                  <c:v>302667</c:v>
                </c:pt>
                <c:pt idx="3">
                  <c:v>302342</c:v>
                </c:pt>
                <c:pt idx="4">
                  <c:v>282335</c:v>
                </c:pt>
                <c:pt idx="5">
                  <c:v>282121</c:v>
                </c:pt>
                <c:pt idx="6">
                  <c:v>281617</c:v>
                </c:pt>
                <c:pt idx="7">
                  <c:v>277965</c:v>
                </c:pt>
                <c:pt idx="8">
                  <c:v>238165</c:v>
                </c:pt>
                <c:pt idx="9">
                  <c:v>233522</c:v>
                </c:pt>
                <c:pt idx="10">
                  <c:v>227096</c:v>
                </c:pt>
                <c:pt idx="11">
                  <c:v>226114</c:v>
                </c:pt>
              </c:numCache>
            </c:numRef>
          </c:val>
          <c:extLst>
            <c:ext xmlns:c16="http://schemas.microsoft.com/office/drawing/2014/chart" uri="{C3380CC4-5D6E-409C-BE32-E72D297353CC}">
              <c16:uniqueId val="{00000000-7D14-45A4-84DE-7F08844D6541}"/>
            </c:ext>
          </c:extLst>
        </c:ser>
        <c:dLbls>
          <c:showLegendKey val="0"/>
          <c:showVal val="0"/>
          <c:showCatName val="0"/>
          <c:showSerName val="0"/>
          <c:showPercent val="0"/>
          <c:showBubbleSize val="0"/>
        </c:dLbls>
        <c:gapWidth val="150"/>
        <c:overlap val="100"/>
        <c:axId val="1682535615"/>
        <c:axId val="1682536095"/>
      </c:barChart>
      <c:catAx>
        <c:axId val="1682535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36095"/>
        <c:crosses val="autoZero"/>
        <c:auto val="1"/>
        <c:lblAlgn val="ctr"/>
        <c:lblOffset val="100"/>
        <c:noMultiLvlLbl val="0"/>
      </c:catAx>
      <c:valAx>
        <c:axId val="1682536095"/>
        <c:scaling>
          <c:orientation val="minMax"/>
        </c:scaling>
        <c:delete val="0"/>
        <c:axPos val="b"/>
        <c:majorGridlines>
          <c:spPr>
            <a:ln w="9525" cap="flat" cmpd="sng" algn="ctr">
              <a:solidFill>
                <a:srgbClr val="92D050"/>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53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Excel(Influencer Marketing ROI Analysis).xlsx]Data Analysis!PivotTable12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Reach, Engagement, and Engagement Rate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Analysis'!$U$4</c:f>
              <c:strCache>
                <c:ptCount val="1"/>
                <c:pt idx="0">
                  <c:v>Average of Estimated Reach</c:v>
                </c:pt>
              </c:strCache>
            </c:strRef>
          </c:tx>
          <c:spPr>
            <a:solidFill>
              <a:schemeClr val="accent1"/>
            </a:solidFill>
            <a:ln>
              <a:noFill/>
            </a:ln>
            <a:effectLst/>
          </c:spPr>
          <c:invertIfNegative val="0"/>
          <c:cat>
            <c:strRef>
              <c:f>'Data Analysis'!$T$5:$T$9</c:f>
              <c:strCache>
                <c:ptCount val="4"/>
                <c:pt idx="0">
                  <c:v>Instagram</c:v>
                </c:pt>
                <c:pt idx="1">
                  <c:v>TikTok</c:v>
                </c:pt>
                <c:pt idx="2">
                  <c:v>Twitter</c:v>
                </c:pt>
                <c:pt idx="3">
                  <c:v>YouTube</c:v>
                </c:pt>
              </c:strCache>
            </c:strRef>
          </c:cat>
          <c:val>
            <c:numRef>
              <c:f>'Data Analysis'!$U$5:$U$9</c:f>
              <c:numCache>
                <c:formatCode>0</c:formatCode>
                <c:ptCount val="4"/>
                <c:pt idx="0">
                  <c:v>523284.38432835822</c:v>
                </c:pt>
                <c:pt idx="1">
                  <c:v>485537.36029411765</c:v>
                </c:pt>
                <c:pt idx="2">
                  <c:v>475567.61068702291</c:v>
                </c:pt>
                <c:pt idx="3">
                  <c:v>492377.6473551637</c:v>
                </c:pt>
              </c:numCache>
            </c:numRef>
          </c:val>
          <c:extLst>
            <c:ext xmlns:c16="http://schemas.microsoft.com/office/drawing/2014/chart" uri="{C3380CC4-5D6E-409C-BE32-E72D297353CC}">
              <c16:uniqueId val="{00000000-86F3-40D1-AEF3-673747E79DDB}"/>
            </c:ext>
          </c:extLst>
        </c:ser>
        <c:ser>
          <c:idx val="1"/>
          <c:order val="1"/>
          <c:tx>
            <c:strRef>
              <c:f>'Data Analysis'!$V$4</c:f>
              <c:strCache>
                <c:ptCount val="1"/>
                <c:pt idx="0">
                  <c:v>Average of Engagements</c:v>
                </c:pt>
              </c:strCache>
            </c:strRef>
          </c:tx>
          <c:spPr>
            <a:solidFill>
              <a:schemeClr val="accent2"/>
            </a:solidFill>
            <a:ln>
              <a:noFill/>
            </a:ln>
            <a:effectLst/>
          </c:spPr>
          <c:invertIfNegative val="0"/>
          <c:cat>
            <c:strRef>
              <c:f>'Data Analysis'!$T$5:$T$9</c:f>
              <c:strCache>
                <c:ptCount val="4"/>
                <c:pt idx="0">
                  <c:v>Instagram</c:v>
                </c:pt>
                <c:pt idx="1">
                  <c:v>TikTok</c:v>
                </c:pt>
                <c:pt idx="2">
                  <c:v>Twitter</c:v>
                </c:pt>
                <c:pt idx="3">
                  <c:v>YouTube</c:v>
                </c:pt>
              </c:strCache>
            </c:strRef>
          </c:cat>
          <c:val>
            <c:numRef>
              <c:f>'Data Analysis'!$V$5:$V$9</c:f>
              <c:numCache>
                <c:formatCode>0</c:formatCode>
                <c:ptCount val="4"/>
                <c:pt idx="0">
                  <c:v>50226.828358208957</c:v>
                </c:pt>
                <c:pt idx="1">
                  <c:v>50936.242647058825</c:v>
                </c:pt>
                <c:pt idx="2">
                  <c:v>44545.725190839694</c:v>
                </c:pt>
                <c:pt idx="3">
                  <c:v>49115.357682619644</c:v>
                </c:pt>
              </c:numCache>
            </c:numRef>
          </c:val>
          <c:extLst>
            <c:ext xmlns:c16="http://schemas.microsoft.com/office/drawing/2014/chart" uri="{C3380CC4-5D6E-409C-BE32-E72D297353CC}">
              <c16:uniqueId val="{00000001-86F3-40D1-AEF3-673747E79DDB}"/>
            </c:ext>
          </c:extLst>
        </c:ser>
        <c:dLbls>
          <c:showLegendKey val="0"/>
          <c:showVal val="0"/>
          <c:showCatName val="0"/>
          <c:showSerName val="0"/>
          <c:showPercent val="0"/>
          <c:showBubbleSize val="0"/>
        </c:dLbls>
        <c:gapWidth val="269"/>
        <c:axId val="1157827391"/>
        <c:axId val="1157829311"/>
      </c:barChart>
      <c:lineChart>
        <c:grouping val="standard"/>
        <c:varyColors val="0"/>
        <c:ser>
          <c:idx val="2"/>
          <c:order val="2"/>
          <c:tx>
            <c:strRef>
              <c:f>'Data Analysis'!$W$4</c:f>
              <c:strCache>
                <c:ptCount val="1"/>
                <c:pt idx="0">
                  <c:v>Average of Engagement Rate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'Data Analysis'!$T$5:$T$9</c:f>
              <c:strCache>
                <c:ptCount val="4"/>
                <c:pt idx="0">
                  <c:v>Instagram</c:v>
                </c:pt>
                <c:pt idx="1">
                  <c:v>TikTok</c:v>
                </c:pt>
                <c:pt idx="2">
                  <c:v>Twitter</c:v>
                </c:pt>
                <c:pt idx="3">
                  <c:v>YouTube</c:v>
                </c:pt>
              </c:strCache>
            </c:strRef>
          </c:cat>
          <c:val>
            <c:numRef>
              <c:f>'Data Analysis'!$W$5:$W$9</c:f>
              <c:numCache>
                <c:formatCode>0.00%</c:formatCode>
                <c:ptCount val="4"/>
                <c:pt idx="0">
                  <c:v>0.2712408582089551</c:v>
                </c:pt>
                <c:pt idx="1">
                  <c:v>0.41138455882352942</c:v>
                </c:pt>
                <c:pt idx="2">
                  <c:v>0.46263053435114498</c:v>
                </c:pt>
                <c:pt idx="3">
                  <c:v>0.23377506297229236</c:v>
                </c:pt>
              </c:numCache>
            </c:numRef>
          </c:val>
          <c:smooth val="0"/>
          <c:extLst>
            <c:ext xmlns:c16="http://schemas.microsoft.com/office/drawing/2014/chart" uri="{C3380CC4-5D6E-409C-BE32-E72D297353CC}">
              <c16:uniqueId val="{00000002-86F3-40D1-AEF3-673747E79DDB}"/>
            </c:ext>
          </c:extLst>
        </c:ser>
        <c:dLbls>
          <c:showLegendKey val="0"/>
          <c:showVal val="0"/>
          <c:showCatName val="0"/>
          <c:showSerName val="0"/>
          <c:showPercent val="0"/>
          <c:showBubbleSize val="0"/>
        </c:dLbls>
        <c:marker val="1"/>
        <c:smooth val="0"/>
        <c:axId val="1712175760"/>
        <c:axId val="1712173840"/>
      </c:lineChart>
      <c:catAx>
        <c:axId val="115782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9311"/>
        <c:crosses val="autoZero"/>
        <c:auto val="1"/>
        <c:lblAlgn val="ctr"/>
        <c:lblOffset val="100"/>
        <c:noMultiLvlLbl val="0"/>
      </c:catAx>
      <c:valAx>
        <c:axId val="1157829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827391"/>
        <c:crosses val="autoZero"/>
        <c:crossBetween val="between"/>
      </c:valAx>
      <c:valAx>
        <c:axId val="171217384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175760"/>
        <c:crosses val="max"/>
        <c:crossBetween val="between"/>
      </c:valAx>
      <c:catAx>
        <c:axId val="1712175760"/>
        <c:scaling>
          <c:orientation val="minMax"/>
        </c:scaling>
        <c:delete val="1"/>
        <c:axPos val="b"/>
        <c:numFmt formatCode="General" sourceLinked="1"/>
        <c:majorTickMark val="none"/>
        <c:minorTickMark val="none"/>
        <c:tickLblPos val="nextTo"/>
        <c:crossAx val="17121738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Influencer%20Marketing%20ROI%20Analiz%20Yekun%20T&#601;qdimat.pdf" TargetMode="External"/></Relationships>
</file>

<file path=xl/drawings/drawing1.xml><?xml version="1.0" encoding="utf-8"?>
<xdr:wsDr xmlns:xdr="http://schemas.openxmlformats.org/drawingml/2006/spreadsheetDrawing" xmlns:a="http://schemas.openxmlformats.org/drawingml/2006/main">
  <xdr:oneCellAnchor>
    <xdr:from>
      <xdr:col>3</xdr:col>
      <xdr:colOff>342900</xdr:colOff>
      <xdr:row>3</xdr:row>
      <xdr:rowOff>68581</xdr:rowOff>
    </xdr:from>
    <xdr:ext cx="1828800" cy="1501140"/>
    <mc:AlternateContent xmlns:mc="http://schemas.openxmlformats.org/markup-compatibility/2006" xmlns:a14="http://schemas.microsoft.com/office/drawing/2010/main">
      <mc:Choice Requires="a14">
        <xdr:graphicFrame macro="">
          <xdr:nvGraphicFramePr>
            <xdr:cNvPr id="10" name="Platform">
              <a:extLst>
                <a:ext uri="{FF2B5EF4-FFF2-40B4-BE49-F238E27FC236}">
                  <a16:creationId xmlns:a16="http://schemas.microsoft.com/office/drawing/2014/main" id="{9929F8EB-0F32-29AD-E768-44145AD8C7F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145280" y="617221"/>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342900</xdr:colOff>
      <xdr:row>11</xdr:row>
      <xdr:rowOff>152401</xdr:rowOff>
    </xdr:from>
    <xdr:ext cx="1828800" cy="2293620"/>
    <mc:AlternateContent xmlns:mc="http://schemas.openxmlformats.org/markup-compatibility/2006" xmlns:a14="http://schemas.microsoft.com/office/drawing/2010/main">
      <mc:Choice Requires="a14">
        <xdr:graphicFrame macro="">
          <xdr:nvGraphicFramePr>
            <xdr:cNvPr id="11" name="Influencer Category">
              <a:extLst>
                <a:ext uri="{FF2B5EF4-FFF2-40B4-BE49-F238E27FC236}">
                  <a16:creationId xmlns:a16="http://schemas.microsoft.com/office/drawing/2014/main" id="{8330440A-DDC5-43DE-33F8-8CBCB71F8875}"/>
                </a:ext>
              </a:extLst>
            </xdr:cNvPr>
            <xdr:cNvGraphicFramePr/>
          </xdr:nvGraphicFramePr>
          <xdr:xfrm>
            <a:off x="0" y="0"/>
            <a:ext cx="0" cy="0"/>
          </xdr:xfrm>
          <a:graphic>
            <a:graphicData uri="http://schemas.microsoft.com/office/drawing/2010/slicer">
              <sle:slicer xmlns:sle="http://schemas.microsoft.com/office/drawing/2010/slicer" name="Influencer Category"/>
            </a:graphicData>
          </a:graphic>
        </xdr:graphicFrame>
      </mc:Choice>
      <mc:Fallback xmlns="">
        <xdr:sp macro="" textlink="">
          <xdr:nvSpPr>
            <xdr:cNvPr id="0" name=""/>
            <xdr:cNvSpPr>
              <a:spLocks noTextEdit="1"/>
            </xdr:cNvSpPr>
          </xdr:nvSpPr>
          <xdr:spPr>
            <a:xfrm>
              <a:off x="4145280" y="2164081"/>
              <a:ext cx="1828800" cy="2293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xdr:col>
      <xdr:colOff>342900</xdr:colOff>
      <xdr:row>23</xdr:row>
      <xdr:rowOff>137161</xdr:rowOff>
    </xdr:from>
    <xdr:ext cx="1828800" cy="1485899"/>
    <mc:AlternateContent xmlns:mc="http://schemas.openxmlformats.org/markup-compatibility/2006" xmlns:a14="http://schemas.microsoft.com/office/drawing/2010/main">
      <mc:Choice Requires="a14">
        <xdr:graphicFrame macro="">
          <xdr:nvGraphicFramePr>
            <xdr:cNvPr id="12" name="Campaign Type">
              <a:extLst>
                <a:ext uri="{FF2B5EF4-FFF2-40B4-BE49-F238E27FC236}">
                  <a16:creationId xmlns:a16="http://schemas.microsoft.com/office/drawing/2014/main" id="{D9B5475A-502F-B4B9-0DCD-45A26DB37D4B}"/>
                </a:ext>
              </a:extLst>
            </xdr:cNvPr>
            <xdr:cNvGraphicFramePr/>
          </xdr:nvGraphicFramePr>
          <xdr:xfrm>
            <a:off x="0" y="0"/>
            <a:ext cx="0" cy="0"/>
          </xdr:xfrm>
          <a:graphic>
            <a:graphicData uri="http://schemas.microsoft.com/office/drawing/2010/slicer">
              <sle:slicer xmlns:sle="http://schemas.microsoft.com/office/drawing/2010/slicer" name="Campaign Type"/>
            </a:graphicData>
          </a:graphic>
        </xdr:graphicFrame>
      </mc:Choice>
      <mc:Fallback xmlns="">
        <xdr:sp macro="" textlink="">
          <xdr:nvSpPr>
            <xdr:cNvPr id="0" name=""/>
            <xdr:cNvSpPr>
              <a:spLocks noTextEdit="1"/>
            </xdr:cNvSpPr>
          </xdr:nvSpPr>
          <xdr:spPr>
            <a:xfrm>
              <a:off x="4145280" y="4480561"/>
              <a:ext cx="1828800" cy="1485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1310640</xdr:colOff>
      <xdr:row>41</xdr:row>
      <xdr:rowOff>38100</xdr:rowOff>
    </xdr:from>
    <xdr:ext cx="3337560" cy="1371600"/>
    <mc:AlternateContent xmlns:mc="http://schemas.openxmlformats.org/markup-compatibility/2006" xmlns:tsle="http://schemas.microsoft.com/office/drawing/2012/timeslicer">
      <mc:Choice Requires="tsle">
        <xdr:graphicFrame macro="">
          <xdr:nvGraphicFramePr>
            <xdr:cNvPr id="13" name="Start Date">
              <a:extLst>
                <a:ext uri="{FF2B5EF4-FFF2-40B4-BE49-F238E27FC236}">
                  <a16:creationId xmlns:a16="http://schemas.microsoft.com/office/drawing/2014/main" id="{09D37DDE-6597-D875-9B11-1C0AD53DF916}"/>
                </a:ext>
              </a:extLst>
            </xdr:cNvPr>
            <xdr:cNvGraphicFramePr/>
          </xdr:nvGraphicFramePr>
          <xdr:xfrm>
            <a:off x="0" y="0"/>
            <a:ext cx="0" cy="0"/>
          </xdr:xfrm>
          <a:graphic>
            <a:graphicData uri="http://schemas.microsoft.com/office/drawing/2012/timeslicer">
              <tsle:timeslicer name="Start Date"/>
            </a:graphicData>
          </a:graphic>
        </xdr:graphicFrame>
      </mc:Choice>
      <mc:Fallback xmlns="">
        <xdr:sp macro="" textlink="">
          <xdr:nvSpPr>
            <xdr:cNvPr id="0" name=""/>
            <xdr:cNvSpPr>
              <a:spLocks noTextEdit="1"/>
            </xdr:cNvSpPr>
          </xdr:nvSpPr>
          <xdr:spPr>
            <a:xfrm>
              <a:off x="3444240" y="76733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3</xdr:col>
      <xdr:colOff>32173</xdr:colOff>
      <xdr:row>6</xdr:row>
      <xdr:rowOff>149861</xdr:rowOff>
    </xdr:from>
    <xdr:to>
      <xdr:col>9</xdr:col>
      <xdr:colOff>367453</xdr:colOff>
      <xdr:row>21</xdr:row>
      <xdr:rowOff>0</xdr:rowOff>
    </xdr:to>
    <xdr:graphicFrame macro="">
      <xdr:nvGraphicFramePr>
        <xdr:cNvPr id="10" name="Chart 9">
          <a:extLst>
            <a:ext uri="{FF2B5EF4-FFF2-40B4-BE49-F238E27FC236}">
              <a16:creationId xmlns:a16="http://schemas.microsoft.com/office/drawing/2014/main" id="{C95FA35A-262D-4BAA-8FA3-D865F5D4A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597323</xdr:colOff>
      <xdr:row>6</xdr:row>
      <xdr:rowOff>158750</xdr:rowOff>
    </xdr:from>
    <xdr:to>
      <xdr:col>23</xdr:col>
      <xdr:colOff>124883</xdr:colOff>
      <xdr:row>20</xdr:row>
      <xdr:rowOff>158328</xdr:rowOff>
    </xdr:to>
    <xdr:graphicFrame macro="">
      <xdr:nvGraphicFramePr>
        <xdr:cNvPr id="11" name="Chart 10">
          <a:extLst>
            <a:ext uri="{FF2B5EF4-FFF2-40B4-BE49-F238E27FC236}">
              <a16:creationId xmlns:a16="http://schemas.microsoft.com/office/drawing/2014/main" id="{035D2001-9F1C-4F1F-96FB-F4BA7F5B5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359833</xdr:colOff>
      <xdr:row>6</xdr:row>
      <xdr:rowOff>158750</xdr:rowOff>
    </xdr:from>
    <xdr:to>
      <xdr:col>15</xdr:col>
      <xdr:colOff>592667</xdr:colOff>
      <xdr:row>20</xdr:row>
      <xdr:rowOff>144780</xdr:rowOff>
    </xdr:to>
    <xdr:graphicFrame macro="">
      <xdr:nvGraphicFramePr>
        <xdr:cNvPr id="12" name="Chart 11">
          <a:extLst>
            <a:ext uri="{FF2B5EF4-FFF2-40B4-BE49-F238E27FC236}">
              <a16:creationId xmlns:a16="http://schemas.microsoft.com/office/drawing/2014/main" id="{B2C5BA77-A988-4B2D-9ADC-56757243E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16933</xdr:colOff>
      <xdr:row>20</xdr:row>
      <xdr:rowOff>152400</xdr:rowOff>
    </xdr:from>
    <xdr:to>
      <xdr:col>9</xdr:col>
      <xdr:colOff>391583</xdr:colOff>
      <xdr:row>37</xdr:row>
      <xdr:rowOff>66887</xdr:rowOff>
    </xdr:to>
    <xdr:graphicFrame macro="">
      <xdr:nvGraphicFramePr>
        <xdr:cNvPr id="13" name="Chart 12">
          <a:extLst>
            <a:ext uri="{FF2B5EF4-FFF2-40B4-BE49-F238E27FC236}">
              <a16:creationId xmlns:a16="http://schemas.microsoft.com/office/drawing/2014/main" id="{AB981D59-8CF0-4441-99D0-2C8C51C71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370417</xdr:colOff>
      <xdr:row>20</xdr:row>
      <xdr:rowOff>121920</xdr:rowOff>
    </xdr:from>
    <xdr:to>
      <xdr:col>16</xdr:col>
      <xdr:colOff>381000</xdr:colOff>
      <xdr:row>37</xdr:row>
      <xdr:rowOff>52917</xdr:rowOff>
    </xdr:to>
    <xdr:graphicFrame macro="">
      <xdr:nvGraphicFramePr>
        <xdr:cNvPr id="14" name="Chart 13">
          <a:extLst>
            <a:ext uri="{FF2B5EF4-FFF2-40B4-BE49-F238E27FC236}">
              <a16:creationId xmlns:a16="http://schemas.microsoft.com/office/drawing/2014/main" id="{2669C508-4829-4493-BA4D-C1D858DAC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381000</xdr:colOff>
      <xdr:row>20</xdr:row>
      <xdr:rowOff>137585</xdr:rowOff>
    </xdr:from>
    <xdr:to>
      <xdr:col>23</xdr:col>
      <xdr:colOff>127000</xdr:colOff>
      <xdr:row>37</xdr:row>
      <xdr:rowOff>63501</xdr:rowOff>
    </xdr:to>
    <xdr:graphicFrame macro="">
      <xdr:nvGraphicFramePr>
        <xdr:cNvPr id="15" name="Chart 14">
          <a:extLst>
            <a:ext uri="{FF2B5EF4-FFF2-40B4-BE49-F238E27FC236}">
              <a16:creationId xmlns:a16="http://schemas.microsoft.com/office/drawing/2014/main" id="{A4C46D11-15A1-433D-8C01-A0796E6CA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91440</xdr:colOff>
      <xdr:row>6</xdr:row>
      <xdr:rowOff>158750</xdr:rowOff>
    </xdr:from>
    <xdr:to>
      <xdr:col>30</xdr:col>
      <xdr:colOff>455083</xdr:colOff>
      <xdr:row>20</xdr:row>
      <xdr:rowOff>137583</xdr:rowOff>
    </xdr:to>
    <xdr:graphicFrame macro="">
      <xdr:nvGraphicFramePr>
        <xdr:cNvPr id="16" name="Chart 15">
          <a:extLst>
            <a:ext uri="{FF2B5EF4-FFF2-40B4-BE49-F238E27FC236}">
              <a16:creationId xmlns:a16="http://schemas.microsoft.com/office/drawing/2014/main" id="{5AA7093A-2943-4D25-BE0D-F3DCC25BE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116416</xdr:colOff>
      <xdr:row>20</xdr:row>
      <xdr:rowOff>148166</xdr:rowOff>
    </xdr:from>
    <xdr:to>
      <xdr:col>30</xdr:col>
      <xdr:colOff>465667</xdr:colOff>
      <xdr:row>37</xdr:row>
      <xdr:rowOff>63500</xdr:rowOff>
    </xdr:to>
    <xdr:graphicFrame macro="">
      <xdr:nvGraphicFramePr>
        <xdr:cNvPr id="17" name="Chart 16">
          <a:extLst>
            <a:ext uri="{FF2B5EF4-FFF2-40B4-BE49-F238E27FC236}">
              <a16:creationId xmlns:a16="http://schemas.microsoft.com/office/drawing/2014/main" id="{868CE159-A443-45B8-A076-3AA4EF411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105832</xdr:colOff>
      <xdr:row>0</xdr:row>
      <xdr:rowOff>74083</xdr:rowOff>
    </xdr:from>
    <xdr:to>
      <xdr:col>30</xdr:col>
      <xdr:colOff>433916</xdr:colOff>
      <xdr:row>6</xdr:row>
      <xdr:rowOff>116416</xdr:rowOff>
    </xdr:to>
    <mc:AlternateContent xmlns:mc="http://schemas.openxmlformats.org/markup-compatibility/2006" xmlns:tsle="http://schemas.microsoft.com/office/drawing/2012/timeslicer">
      <mc:Choice Requires="tsle">
        <xdr:graphicFrame macro="">
          <xdr:nvGraphicFramePr>
            <xdr:cNvPr id="18" name="Start Date 1">
              <a:extLst>
                <a:ext uri="{FF2B5EF4-FFF2-40B4-BE49-F238E27FC236}">
                  <a16:creationId xmlns:a16="http://schemas.microsoft.com/office/drawing/2014/main" id="{0E3A87A2-B7AC-4971-9968-775FD858D3DA}"/>
                </a:ext>
              </a:extLst>
            </xdr:cNvPr>
            <xdr:cNvGraphicFramePr/>
          </xdr:nvGraphicFramePr>
          <xdr:xfrm>
            <a:off x="0" y="0"/>
            <a:ext cx="0" cy="0"/>
          </xdr:xfrm>
          <a:graphic>
            <a:graphicData uri="http://schemas.microsoft.com/office/drawing/2012/timeslicer">
              <tsle:timeslicer name="Start Date 1"/>
            </a:graphicData>
          </a:graphic>
        </xdr:graphicFrame>
      </mc:Choice>
      <mc:Fallback xmlns="">
        <xdr:sp macro="" textlink="">
          <xdr:nvSpPr>
            <xdr:cNvPr id="0" name=""/>
            <xdr:cNvSpPr>
              <a:spLocks noTextEdit="1"/>
            </xdr:cNvSpPr>
          </xdr:nvSpPr>
          <xdr:spPr>
            <a:xfrm>
              <a:off x="14128749" y="74083"/>
              <a:ext cx="4720168" cy="11218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0</xdr:col>
      <xdr:colOff>31750</xdr:colOff>
      <xdr:row>6</xdr:row>
      <xdr:rowOff>148167</xdr:rowOff>
    </xdr:from>
    <xdr:ext cx="1828800" cy="1501140"/>
    <mc:AlternateContent xmlns:mc="http://schemas.openxmlformats.org/markup-compatibility/2006" xmlns:a14="http://schemas.microsoft.com/office/drawing/2010/main">
      <mc:Choice Requires="a14">
        <xdr:graphicFrame macro="">
          <xdr:nvGraphicFramePr>
            <xdr:cNvPr id="3" name="Platform 1">
              <a:extLst>
                <a:ext uri="{FF2B5EF4-FFF2-40B4-BE49-F238E27FC236}">
                  <a16:creationId xmlns:a16="http://schemas.microsoft.com/office/drawing/2014/main" id="{F492988B-E448-4820-8DC7-05DDFEA9177D}"/>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31750" y="1227667"/>
              <a:ext cx="1828800" cy="1501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21453</xdr:colOff>
      <xdr:row>14</xdr:row>
      <xdr:rowOff>177054</xdr:rowOff>
    </xdr:from>
    <xdr:ext cx="1828800" cy="2304595"/>
    <mc:AlternateContent xmlns:mc="http://schemas.openxmlformats.org/markup-compatibility/2006" xmlns:a14="http://schemas.microsoft.com/office/drawing/2010/main">
      <mc:Choice Requires="a14">
        <xdr:graphicFrame macro="">
          <xdr:nvGraphicFramePr>
            <xdr:cNvPr id="5" name="Influencer Category 1">
              <a:extLst>
                <a:ext uri="{FF2B5EF4-FFF2-40B4-BE49-F238E27FC236}">
                  <a16:creationId xmlns:a16="http://schemas.microsoft.com/office/drawing/2014/main" id="{164F7726-AAB8-431E-B098-F0425329DE4F}"/>
                </a:ext>
              </a:extLst>
            </xdr:cNvPr>
            <xdr:cNvGraphicFramePr/>
          </xdr:nvGraphicFramePr>
          <xdr:xfrm>
            <a:off x="0" y="0"/>
            <a:ext cx="0" cy="0"/>
          </xdr:xfrm>
          <a:graphic>
            <a:graphicData uri="http://schemas.microsoft.com/office/drawing/2010/slicer">
              <sle:slicer xmlns:sle="http://schemas.microsoft.com/office/drawing/2010/slicer" name="Influencer Category 1"/>
            </a:graphicData>
          </a:graphic>
        </xdr:graphicFrame>
      </mc:Choice>
      <mc:Fallback xmlns="">
        <xdr:sp macro="" textlink="">
          <xdr:nvSpPr>
            <xdr:cNvPr id="0" name=""/>
            <xdr:cNvSpPr>
              <a:spLocks noTextEdit="1"/>
            </xdr:cNvSpPr>
          </xdr:nvSpPr>
          <xdr:spPr>
            <a:xfrm>
              <a:off x="21453" y="2737374"/>
              <a:ext cx="1828800" cy="230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10297</xdr:colOff>
      <xdr:row>27</xdr:row>
      <xdr:rowOff>104403</xdr:rowOff>
    </xdr:from>
    <xdr:ext cx="1828800" cy="1800597"/>
    <mc:AlternateContent xmlns:mc="http://schemas.openxmlformats.org/markup-compatibility/2006" xmlns:a14="http://schemas.microsoft.com/office/drawing/2010/main">
      <mc:Choice Requires="a14">
        <xdr:graphicFrame macro="">
          <xdr:nvGraphicFramePr>
            <xdr:cNvPr id="19" name="Campaign Type 1">
              <a:extLst>
                <a:ext uri="{FF2B5EF4-FFF2-40B4-BE49-F238E27FC236}">
                  <a16:creationId xmlns:a16="http://schemas.microsoft.com/office/drawing/2014/main" id="{7618D224-54D5-4722-AFD3-D33E0A8AF24A}"/>
                </a:ext>
              </a:extLst>
            </xdr:cNvPr>
            <xdr:cNvGraphicFramePr/>
          </xdr:nvGraphicFramePr>
          <xdr:xfrm>
            <a:off x="0" y="0"/>
            <a:ext cx="0" cy="0"/>
          </xdr:xfrm>
          <a:graphic>
            <a:graphicData uri="http://schemas.microsoft.com/office/drawing/2010/slicer">
              <sle:slicer xmlns:sle="http://schemas.microsoft.com/office/drawing/2010/slicer" name="Campaign Type 1"/>
            </a:graphicData>
          </a:graphic>
        </xdr:graphicFrame>
      </mc:Choice>
      <mc:Fallback xmlns="">
        <xdr:sp macro="" textlink="">
          <xdr:nvSpPr>
            <xdr:cNvPr id="0" name=""/>
            <xdr:cNvSpPr>
              <a:spLocks noTextEdit="1"/>
            </xdr:cNvSpPr>
          </xdr:nvSpPr>
          <xdr:spPr>
            <a:xfrm>
              <a:off x="10297" y="5042163"/>
              <a:ext cx="1828800" cy="1800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8</xdr:col>
      <xdr:colOff>459740</xdr:colOff>
      <xdr:row>0</xdr:row>
      <xdr:rowOff>38100</xdr:rowOff>
    </xdr:from>
    <xdr:to>
      <xdr:col>22</xdr:col>
      <xdr:colOff>482600</xdr:colOff>
      <xdr:row>6</xdr:row>
      <xdr:rowOff>53340</xdr:rowOff>
    </xdr:to>
    <xdr:grpSp>
      <xdr:nvGrpSpPr>
        <xdr:cNvPr id="6" name="Group 5">
          <a:extLst>
            <a:ext uri="{FF2B5EF4-FFF2-40B4-BE49-F238E27FC236}">
              <a16:creationId xmlns:a16="http://schemas.microsoft.com/office/drawing/2014/main" id="{ADD7FAA4-518F-5FE9-7038-CCAE469EED25}"/>
            </a:ext>
          </a:extLst>
        </xdr:cNvPr>
        <xdr:cNvGrpSpPr/>
      </xdr:nvGrpSpPr>
      <xdr:grpSpPr>
        <a:xfrm>
          <a:off x="5336540" y="38100"/>
          <a:ext cx="8557260" cy="1112520"/>
          <a:chOff x="5265420" y="68580"/>
          <a:chExt cx="8557260" cy="1112520"/>
        </a:xfrm>
      </xdr:grpSpPr>
      <xdr:sp macro="" textlink="'Data Analysis'!$U$36">
        <xdr:nvSpPr>
          <xdr:cNvPr id="7" name="Oval 6">
            <a:extLst>
              <a:ext uri="{FF2B5EF4-FFF2-40B4-BE49-F238E27FC236}">
                <a16:creationId xmlns:a16="http://schemas.microsoft.com/office/drawing/2014/main" id="{6AA1F918-22FD-34DB-2B94-28ACA4258B0F}"/>
              </a:ext>
            </a:extLst>
          </xdr:cNvPr>
          <xdr:cNvSpPr/>
        </xdr:nvSpPr>
        <xdr:spPr>
          <a:xfrm>
            <a:off x="8145780" y="68580"/>
            <a:ext cx="2796540" cy="110490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rgbClr val="000000"/>
              </a:solidFill>
              <a:latin typeface="Aptos Narrow"/>
            </a:endParaRPr>
          </a:p>
          <a:p>
            <a:pPr algn="ctr"/>
            <a:fld id="{9073E950-AAAD-4DA8-A5D5-AF482161F15E}" type="TxLink">
              <a:rPr lang="en-US" sz="2000" b="0" i="0" u="none" strike="noStrike">
                <a:solidFill>
                  <a:srgbClr val="000000"/>
                </a:solidFill>
                <a:latin typeface="Aptos Narrow"/>
              </a:rPr>
              <a:pPr algn="ctr"/>
              <a:t>$658,219.00</a:t>
            </a:fld>
            <a:endParaRPr lang="en-US" sz="2000" b="0" i="0" u="none" strike="noStrike">
              <a:solidFill>
                <a:srgbClr val="000000"/>
              </a:solidFill>
              <a:latin typeface="Aptos Narrow"/>
            </a:endParaRPr>
          </a:p>
        </xdr:txBody>
      </xdr:sp>
      <xdr:sp macro="" textlink="'Data Analysis'!$U$39">
        <xdr:nvSpPr>
          <xdr:cNvPr id="8" name="Oval 7">
            <a:extLst>
              <a:ext uri="{FF2B5EF4-FFF2-40B4-BE49-F238E27FC236}">
                <a16:creationId xmlns:a16="http://schemas.microsoft.com/office/drawing/2014/main" id="{B4CA396C-FB8F-4977-B2E7-3C6D8573BDEA}"/>
              </a:ext>
            </a:extLst>
          </xdr:cNvPr>
          <xdr:cNvSpPr/>
        </xdr:nvSpPr>
        <xdr:spPr>
          <a:xfrm>
            <a:off x="5265420" y="68580"/>
            <a:ext cx="2872740" cy="109728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baseline="0">
              <a:solidFill>
                <a:srgbClr val="000000"/>
              </a:solidFill>
              <a:latin typeface="Aptos Narrow"/>
            </a:endParaRPr>
          </a:p>
          <a:p>
            <a:pPr algn="ctr"/>
            <a:fld id="{F0650F15-9483-4FE9-BC0B-D9EA55D0F92E}" type="TxLink">
              <a:rPr lang="en-US" sz="2000" b="0" i="0" u="none" strike="noStrike" baseline="0">
                <a:solidFill>
                  <a:srgbClr val="000000"/>
                </a:solidFill>
                <a:latin typeface="Aptos Narrow"/>
              </a:rPr>
              <a:pPr algn="ctr"/>
              <a:t>272</a:t>
            </a:fld>
            <a:endParaRPr lang="az-Latn-AZ" sz="2000" b="1" i="1" u="none" strike="noStrike" baseline="0">
              <a:solidFill>
                <a:srgbClr val="000000"/>
              </a:solidFill>
              <a:latin typeface="Aptos Narrow"/>
            </a:endParaRPr>
          </a:p>
        </xdr:txBody>
      </xdr:sp>
      <xdr:sp macro="" textlink="'Data Analysis'!$U$42">
        <xdr:nvSpPr>
          <xdr:cNvPr id="9" name="Oval 8">
            <a:extLst>
              <a:ext uri="{FF2B5EF4-FFF2-40B4-BE49-F238E27FC236}">
                <a16:creationId xmlns:a16="http://schemas.microsoft.com/office/drawing/2014/main" id="{97100BE4-8285-49E9-8D06-76A9EBD89A12}"/>
              </a:ext>
            </a:extLst>
          </xdr:cNvPr>
          <xdr:cNvSpPr/>
        </xdr:nvSpPr>
        <xdr:spPr>
          <a:xfrm>
            <a:off x="10949940" y="68580"/>
            <a:ext cx="2872740" cy="111252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0" i="0" u="none" strike="noStrike">
              <a:solidFill>
                <a:srgbClr val="000000"/>
              </a:solidFill>
              <a:latin typeface="Aptos Narrow"/>
            </a:endParaRPr>
          </a:p>
          <a:p>
            <a:pPr algn="ctr"/>
            <a:fld id="{D0735E6B-45D5-4171-9BFA-A57B9021C063}" type="TxLink">
              <a:rPr lang="en-US" sz="2000" b="0" i="0" u="none" strike="noStrike">
                <a:solidFill>
                  <a:srgbClr val="000000"/>
                </a:solidFill>
                <a:latin typeface="Aptos Narrow"/>
              </a:rPr>
              <a:pPr algn="ctr"/>
              <a:t>41.14%</a:t>
            </a:fld>
            <a:endParaRPr lang="en-US" sz="2000" b="0" i="0" u="none" strike="noStrike">
              <a:solidFill>
                <a:srgbClr val="000000"/>
              </a:solidFill>
              <a:latin typeface="Aptos Narrow"/>
            </a:endParaRPr>
          </a:p>
        </xdr:txBody>
      </xdr:sp>
      <xdr:sp macro="" textlink="">
        <xdr:nvSpPr>
          <xdr:cNvPr id="20" name="Rectangle 19">
            <a:extLst>
              <a:ext uri="{FF2B5EF4-FFF2-40B4-BE49-F238E27FC236}">
                <a16:creationId xmlns:a16="http://schemas.microsoft.com/office/drawing/2014/main" id="{69596ED6-CDC4-D399-C554-93844686D657}"/>
              </a:ext>
            </a:extLst>
          </xdr:cNvPr>
          <xdr:cNvSpPr/>
        </xdr:nvSpPr>
        <xdr:spPr>
          <a:xfrm>
            <a:off x="5547360" y="71120"/>
            <a:ext cx="2286000" cy="38608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Total Campaign</a:t>
            </a:r>
          </a:p>
        </xdr:txBody>
      </xdr:sp>
      <xdr:sp macro="" textlink="">
        <xdr:nvSpPr>
          <xdr:cNvPr id="21" name="Rectangle 20">
            <a:extLst>
              <a:ext uri="{FF2B5EF4-FFF2-40B4-BE49-F238E27FC236}">
                <a16:creationId xmlns:a16="http://schemas.microsoft.com/office/drawing/2014/main" id="{08A11C9D-255C-4C03-B8F4-E986C5D8AC63}"/>
              </a:ext>
            </a:extLst>
          </xdr:cNvPr>
          <xdr:cNvSpPr/>
        </xdr:nvSpPr>
        <xdr:spPr>
          <a:xfrm>
            <a:off x="8409940" y="68580"/>
            <a:ext cx="2286000" cy="38608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Total</a:t>
            </a:r>
            <a:r>
              <a:rPr lang="en-US" sz="1600" baseline="0"/>
              <a:t> Product Sale</a:t>
            </a:r>
            <a:endParaRPr lang="en-US" sz="1600"/>
          </a:p>
        </xdr:txBody>
      </xdr:sp>
      <xdr:sp macro="" textlink="">
        <xdr:nvSpPr>
          <xdr:cNvPr id="22" name="Rectangle 21">
            <a:extLst>
              <a:ext uri="{FF2B5EF4-FFF2-40B4-BE49-F238E27FC236}">
                <a16:creationId xmlns:a16="http://schemas.microsoft.com/office/drawing/2014/main" id="{8B4C532D-6DD4-4723-A860-7696E55B781B}"/>
              </a:ext>
            </a:extLst>
          </xdr:cNvPr>
          <xdr:cNvSpPr/>
        </xdr:nvSpPr>
        <xdr:spPr>
          <a:xfrm>
            <a:off x="11254740" y="68580"/>
            <a:ext cx="2286000" cy="38608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Average</a:t>
            </a:r>
            <a:r>
              <a:rPr lang="en-US" sz="1600" baseline="0"/>
              <a:t> Engagement Rate</a:t>
            </a:r>
            <a:endParaRPr lang="en-US" sz="1600"/>
          </a:p>
        </xdr:txBody>
      </xdr:sp>
    </xdr:grpSp>
    <xdr:clientData/>
  </xdr:twoCellAnchor>
  <xdr:twoCellAnchor>
    <xdr:from>
      <xdr:col>0</xdr:col>
      <xdr:colOff>53340</xdr:colOff>
      <xdr:row>0</xdr:row>
      <xdr:rowOff>60960</xdr:rowOff>
    </xdr:from>
    <xdr:to>
      <xdr:col>8</xdr:col>
      <xdr:colOff>236220</xdr:colOff>
      <xdr:row>6</xdr:row>
      <xdr:rowOff>30480</xdr:rowOff>
    </xdr:to>
    <xdr:grpSp>
      <xdr:nvGrpSpPr>
        <xdr:cNvPr id="28" name="Group 27">
          <a:hlinkClick xmlns:r="http://schemas.openxmlformats.org/officeDocument/2006/relationships" r:id="rId9"/>
          <a:extLst>
            <a:ext uri="{FF2B5EF4-FFF2-40B4-BE49-F238E27FC236}">
              <a16:creationId xmlns:a16="http://schemas.microsoft.com/office/drawing/2014/main" id="{E8C404F7-EEFD-6E20-5DBF-C83FE8368898}"/>
            </a:ext>
          </a:extLst>
        </xdr:cNvPr>
        <xdr:cNvGrpSpPr/>
      </xdr:nvGrpSpPr>
      <xdr:grpSpPr>
        <a:xfrm>
          <a:off x="53340" y="60960"/>
          <a:ext cx="5059680" cy="1066800"/>
          <a:chOff x="53340" y="60960"/>
          <a:chExt cx="5059680" cy="1066800"/>
        </a:xfrm>
      </xdr:grpSpPr>
      <xdr:sp macro="" textlink="">
        <xdr:nvSpPr>
          <xdr:cNvPr id="2" name="Rectangle 1">
            <a:extLst>
              <a:ext uri="{FF2B5EF4-FFF2-40B4-BE49-F238E27FC236}">
                <a16:creationId xmlns:a16="http://schemas.microsoft.com/office/drawing/2014/main" id="{506CD23D-A6E6-4C4A-0BE8-D16F3A81273E}"/>
              </a:ext>
            </a:extLst>
          </xdr:cNvPr>
          <xdr:cNvSpPr/>
        </xdr:nvSpPr>
        <xdr:spPr>
          <a:xfrm>
            <a:off x="53340" y="60960"/>
            <a:ext cx="5059680" cy="1066800"/>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a:solidFill>
                  <a:schemeClr val="tx1"/>
                </a:solidFill>
              </a:rPr>
              <a:t>            </a:t>
            </a:r>
            <a:r>
              <a:rPr lang="en-US" sz="2400" b="0" i="0">
                <a:solidFill>
                  <a:schemeClr val="tx1"/>
                </a:solidFill>
              </a:rPr>
              <a:t>Influencer Marketing ROI Analysis</a:t>
            </a:r>
          </a:p>
        </xdr:txBody>
      </xdr:sp>
      <xdr:pic>
        <xdr:nvPicPr>
          <xdr:cNvPr id="27" name="Picture 26">
            <a:extLst>
              <a:ext uri="{FF2B5EF4-FFF2-40B4-BE49-F238E27FC236}">
                <a16:creationId xmlns:a16="http://schemas.microsoft.com/office/drawing/2014/main" id="{1EA044EC-C975-939A-E8D3-20C2D17F0F4E}"/>
              </a:ext>
            </a:extLst>
          </xdr:cNvPr>
          <xdr:cNvPicPr>
            <a:picLocks noChangeAspect="1"/>
          </xdr:cNvPicPr>
        </xdr:nvPicPr>
        <xdr:blipFill>
          <a:blip xmlns:r="http://schemas.openxmlformats.org/officeDocument/2006/relationships" r:embed="rId10"/>
          <a:stretch>
            <a:fillRect/>
          </a:stretch>
        </xdr:blipFill>
        <xdr:spPr>
          <a:xfrm>
            <a:off x="60960" y="142240"/>
            <a:ext cx="873760" cy="87376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8.59950462963" createdVersion="8" refreshedVersion="8" minRefreshableVersion="3" recordCount="1336" xr:uid="{738DEF9A-212A-4570-8164-90054AECAD5F}">
  <cacheSource type="worksheet">
    <worksheetSource ref="A1:M1337" sheet="ROI Dataset"/>
  </cacheSource>
  <cacheFields count="16">
    <cacheField name="Campaign ID" numFmtId="0">
      <sharedItems containsSemiMixedTypes="0" containsString="0" containsNumber="1" containsInteger="1" minValue="100000" maxValue="101335"/>
    </cacheField>
    <cacheField name="Platform" numFmtId="0">
      <sharedItems count="4">
        <s v="TikTok"/>
        <s v="YouTube"/>
        <s v="Instagram"/>
        <s v="Twitter"/>
      </sharedItems>
    </cacheField>
    <cacheField name="Influencer Category" numFmtId="0">
      <sharedItems count="7">
        <s v="Fitness"/>
        <s v="Food"/>
        <s v="Travel"/>
        <s v="Beauty"/>
        <s v="Tech"/>
        <s v="Gaming"/>
        <s v="Fashion"/>
      </sharedItems>
    </cacheField>
    <cacheField name="Campaign Type" numFmtId="0">
      <sharedItems count="5">
        <s v="Giveaway"/>
        <s v="Product Launch"/>
        <s v="Brand Awareness"/>
        <s v="Seasonal Sale"/>
        <s v="Event Promotion"/>
      </sharedItems>
    </cacheField>
    <cacheField name="Start Date" numFmtId="14">
      <sharedItems containsSemiMixedTypes="0" containsNonDate="0" containsDate="1" containsString="0" minDate="2022-01-01T00:00:00" maxDate="2025-08-29T00:00:00" count="1336">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sharedItems>
      <fieldGroup par="15"/>
    </cacheField>
    <cacheField name="Engagements" numFmtId="1">
      <sharedItems containsSemiMixedTypes="0" containsString="0" containsNumber="1" containsInteger="1" minValue="116" maxValue="99769"/>
    </cacheField>
    <cacheField name="Estimated Reach" numFmtId="1">
      <sharedItems containsSemiMixedTypes="0" containsString="0" containsNumber="1" containsInteger="1" minValue="1082" maxValue="998467"/>
    </cacheField>
    <cacheField name="Product Sales" numFmtId="6">
      <sharedItems containsSemiMixedTypes="0" containsString="0" containsNumber="1" containsInteger="1" minValue="2" maxValue="4994"/>
    </cacheField>
    <cacheField name="Campaign Duration Days" numFmtId="1">
      <sharedItems containsSemiMixedTypes="0" containsString="0" containsNumber="1" containsInteger="1" minValue="1" maxValue="29"/>
    </cacheField>
    <cacheField name="End Date" numFmtId="14">
      <sharedItems containsSemiMixedTypes="0" containsNonDate="0" containsDate="1" containsString="0" minDate="2022-01-08T00:00:00" maxDate="2025-09-21T00:00:00"/>
    </cacheField>
    <cacheField name="Engagement Rate" numFmtId="10">
      <sharedItems containsSemiMixedTypes="0" containsString="0" containsNumber="1" minValue="2.0000000000000001E-4" maxValue="42.230400000000003"/>
    </cacheField>
    <cacheField name="Sales Per 1000 Reach" numFmtId="164">
      <sharedItems containsSemiMixedTypes="0" containsString="0" containsNumber="1" minValue="2.8405822625521778E-3" maxValue="1497.8858350951375"/>
    </cacheField>
    <cacheField name="Engagement  Per  Day" numFmtId="1">
      <sharedItems containsSemiMixedTypes="0" containsString="0" containsNumber="1" minValue="6.8235294117647056" maxValue="98389"/>
    </cacheField>
    <cacheField name="Months (Start Date)" numFmtId="0" databaseField="0">
      <fieldGroup base="4">
        <rangePr groupBy="months" startDate="2022-01-01T00:00:00" endDate="2025-08-29T00:00:00"/>
        <groupItems count="14">
          <s v="&lt;1/1/2022"/>
          <s v="Jan"/>
          <s v="Feb"/>
          <s v="Mar"/>
          <s v="Apr"/>
          <s v="May"/>
          <s v="Jun"/>
          <s v="Jul"/>
          <s v="Aug"/>
          <s v="Sep"/>
          <s v="Oct"/>
          <s v="Nov"/>
          <s v="Dec"/>
          <s v="&gt;8/29/2025"/>
        </groupItems>
      </fieldGroup>
    </cacheField>
    <cacheField name="Quarters (Start Date)" numFmtId="0" databaseField="0">
      <fieldGroup base="4">
        <rangePr groupBy="quarters" startDate="2022-01-01T00:00:00" endDate="2025-08-29T00:00:00"/>
        <groupItems count="6">
          <s v="&lt;1/1/2022"/>
          <s v="Qtr1"/>
          <s v="Qtr2"/>
          <s v="Qtr3"/>
          <s v="Qtr4"/>
          <s v="&gt;8/29/2025"/>
        </groupItems>
      </fieldGroup>
    </cacheField>
    <cacheField name="Years (Start Date)" numFmtId="0" databaseField="0">
      <fieldGroup base="4">
        <rangePr groupBy="years" startDate="2022-01-01T00:00:00" endDate="2025-08-29T00:00:00"/>
        <groupItems count="6">
          <s v="&lt;1/1/2022"/>
          <s v="2022"/>
          <s v="2023"/>
          <s v="2024"/>
          <s v="2025"/>
          <s v="&gt;8/29/2025"/>
        </groupItems>
      </fieldGroup>
    </cacheField>
  </cacheFields>
  <extLst>
    <ext xmlns:x14="http://schemas.microsoft.com/office/spreadsheetml/2009/9/main" uri="{725AE2AE-9491-48be-B2B4-4EB974FC3084}">
      <x14:pivotCacheDefinition pivotCacheId="1191561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6">
  <r>
    <n v="100000"/>
    <x v="0"/>
    <x v="0"/>
    <x v="0"/>
    <x v="0"/>
    <n v="79900"/>
    <n v="1892"/>
    <n v="2834"/>
    <n v="14"/>
    <d v="2022-01-15T00:00:00"/>
    <n v="42.230400000000003"/>
    <n v="1497.8858350951375"/>
    <n v="5707.1428571428569"/>
  </r>
  <r>
    <n v="100001"/>
    <x v="1"/>
    <x v="1"/>
    <x v="1"/>
    <x v="1"/>
    <n v="47985"/>
    <n v="437228"/>
    <n v="165"/>
    <n v="13"/>
    <d v="2022-01-15T00:00:00"/>
    <n v="0.10970000000000001"/>
    <n v="0.37737747811210626"/>
    <n v="3691.1538461538462"/>
  </r>
  <r>
    <n v="100002"/>
    <x v="0"/>
    <x v="2"/>
    <x v="2"/>
    <x v="2"/>
    <n v="13875"/>
    <n v="982513"/>
    <n v="2539"/>
    <n v="5"/>
    <d v="2022-01-08T00:00:00"/>
    <n v="1.41E-2"/>
    <n v="2.5841897257339088"/>
    <n v="2775"/>
  </r>
  <r>
    <n v="100003"/>
    <x v="1"/>
    <x v="1"/>
    <x v="2"/>
    <x v="3"/>
    <n v="41200"/>
    <n v="213400"/>
    <n v="100"/>
    <n v="20"/>
    <d v="2022-01-24T00:00:00"/>
    <n v="0.19309999999999999"/>
    <n v="0.46860356138706655"/>
    <n v="2060"/>
  </r>
  <r>
    <n v="100004"/>
    <x v="2"/>
    <x v="1"/>
    <x v="0"/>
    <x v="4"/>
    <n v="96998"/>
    <n v="42501"/>
    <n v="550"/>
    <n v="28"/>
    <d v="2022-02-02T00:00:00"/>
    <n v="2.2823000000000002"/>
    <n v="12.940871979482836"/>
    <n v="3464.2142857142858"/>
  </r>
  <r>
    <n v="100005"/>
    <x v="3"/>
    <x v="3"/>
    <x v="2"/>
    <x v="5"/>
    <n v="76687"/>
    <n v="443289"/>
    <n v="2338"/>
    <n v="27"/>
    <d v="2022-02-02T00:00:00"/>
    <n v="0.17299999999999999"/>
    <n v="5.2742116316894849"/>
    <n v="2840.2592592592591"/>
  </r>
  <r>
    <n v="100006"/>
    <x v="0"/>
    <x v="4"/>
    <x v="3"/>
    <x v="6"/>
    <n v="8878"/>
    <n v="116825"/>
    <n v="1027"/>
    <n v="17"/>
    <d v="2022-01-24T00:00:00"/>
    <n v="7.5999999999999998E-2"/>
    <n v="8.7909265996148083"/>
    <n v="522.23529411764707"/>
  </r>
  <r>
    <n v="100007"/>
    <x v="0"/>
    <x v="5"/>
    <x v="2"/>
    <x v="7"/>
    <n v="74092"/>
    <n v="644094"/>
    <n v="121"/>
    <n v="13"/>
    <d v="2022-01-21T00:00:00"/>
    <n v="0.115"/>
    <n v="0.18786077808518631"/>
    <n v="5699.3846153846152"/>
  </r>
  <r>
    <n v="100008"/>
    <x v="2"/>
    <x v="2"/>
    <x v="4"/>
    <x v="8"/>
    <n v="84035"/>
    <n v="66087"/>
    <n v="3405"/>
    <n v="14"/>
    <d v="2022-01-23T00:00:00"/>
    <n v="1.2716000000000001"/>
    <n v="51.522992419083941"/>
    <n v="6002.5"/>
  </r>
  <r>
    <n v="100009"/>
    <x v="1"/>
    <x v="1"/>
    <x v="4"/>
    <x v="9"/>
    <n v="74906"/>
    <n v="258767"/>
    <n v="1149"/>
    <n v="1"/>
    <d v="2022-01-11T00:00:00"/>
    <n v="0.28949999999999998"/>
    <n v="4.4402879810795044"/>
    <n v="74906"/>
  </r>
  <r>
    <n v="100010"/>
    <x v="2"/>
    <x v="4"/>
    <x v="4"/>
    <x v="10"/>
    <n v="15117"/>
    <n v="926004"/>
    <n v="2657"/>
    <n v="18"/>
    <d v="2022-01-29T00:00:00"/>
    <n v="1.6299999999999999E-2"/>
    <n v="2.8693180591012566"/>
    <n v="839.83333333333337"/>
  </r>
  <r>
    <n v="100011"/>
    <x v="3"/>
    <x v="0"/>
    <x v="3"/>
    <x v="11"/>
    <n v="87945"/>
    <n v="992541"/>
    <n v="2901"/>
    <n v="7"/>
    <d v="2022-01-19T00:00:00"/>
    <n v="8.8599999999999998E-2"/>
    <n v="2.9228011739565418"/>
    <n v="12563.571428571429"/>
  </r>
  <r>
    <n v="100012"/>
    <x v="1"/>
    <x v="2"/>
    <x v="1"/>
    <x v="12"/>
    <n v="59591"/>
    <n v="343970"/>
    <n v="1906"/>
    <n v="19"/>
    <d v="2022-02-01T00:00:00"/>
    <n v="0.17319999999999999"/>
    <n v="5.54118091694043"/>
    <n v="3136.3684210526317"/>
  </r>
  <r>
    <n v="100013"/>
    <x v="0"/>
    <x v="6"/>
    <x v="1"/>
    <x v="13"/>
    <n v="71678"/>
    <n v="696891"/>
    <n v="2935"/>
    <n v="9"/>
    <d v="2022-01-23T00:00:00"/>
    <n v="0.10290000000000001"/>
    <n v="4.2115624968610588"/>
    <n v="7964.2222222222226"/>
  </r>
  <r>
    <n v="100014"/>
    <x v="1"/>
    <x v="4"/>
    <x v="1"/>
    <x v="14"/>
    <n v="65588"/>
    <n v="420535"/>
    <n v="279"/>
    <n v="21"/>
    <d v="2022-02-05T00:00:00"/>
    <n v="0.156"/>
    <n v="0.66344061730890413"/>
    <n v="3123.2380952380954"/>
  </r>
  <r>
    <n v="100015"/>
    <x v="2"/>
    <x v="4"/>
    <x v="3"/>
    <x v="15"/>
    <n v="51368"/>
    <n v="905867"/>
    <n v="2297"/>
    <n v="23"/>
    <d v="2022-02-08T00:00:00"/>
    <n v="5.67E-2"/>
    <n v="2.5356923256946104"/>
    <n v="2233.391304347826"/>
  </r>
  <r>
    <n v="100016"/>
    <x v="1"/>
    <x v="5"/>
    <x v="2"/>
    <x v="16"/>
    <n v="14300"/>
    <n v="719281"/>
    <n v="3530"/>
    <n v="11"/>
    <d v="2022-01-28T00:00:00"/>
    <n v="1.9900000000000001E-2"/>
    <n v="4.9076786401976422"/>
    <n v="1300"/>
  </r>
  <r>
    <n v="100017"/>
    <x v="2"/>
    <x v="0"/>
    <x v="0"/>
    <x v="17"/>
    <n v="66262"/>
    <n v="130779"/>
    <n v="4080"/>
    <n v="25"/>
    <d v="2022-02-12T00:00:00"/>
    <n v="0.50670000000000004"/>
    <n v="31.197669350583809"/>
    <n v="2650.48"/>
  </r>
  <r>
    <n v="100018"/>
    <x v="0"/>
    <x v="1"/>
    <x v="2"/>
    <x v="18"/>
    <n v="5542"/>
    <n v="362628"/>
    <n v="1083"/>
    <n v="18"/>
    <d v="2022-02-06T00:00:00"/>
    <n v="1.5299999999999999E-2"/>
    <n v="2.9865316522717493"/>
    <n v="307.88888888888891"/>
  </r>
  <r>
    <n v="100019"/>
    <x v="1"/>
    <x v="6"/>
    <x v="1"/>
    <x v="19"/>
    <n v="94041"/>
    <n v="941739"/>
    <n v="881"/>
    <n v="26"/>
    <d v="2022-02-15T00:00:00"/>
    <n v="9.9900000000000003E-2"/>
    <n v="0.93550336133472234"/>
    <n v="3616.9615384615386"/>
  </r>
  <r>
    <n v="100020"/>
    <x v="0"/>
    <x v="5"/>
    <x v="2"/>
    <x v="20"/>
    <n v="65086"/>
    <n v="886509"/>
    <n v="2489"/>
    <n v="22"/>
    <d v="2022-02-12T00:00:00"/>
    <n v="7.3400000000000007E-2"/>
    <n v="2.8076421107963934"/>
    <n v="2958.4545454545455"/>
  </r>
  <r>
    <n v="100021"/>
    <x v="2"/>
    <x v="2"/>
    <x v="1"/>
    <x v="21"/>
    <n v="62078"/>
    <n v="100019"/>
    <n v="2377"/>
    <n v="8"/>
    <d v="2022-01-30T00:00:00"/>
    <n v="0.62070000000000003"/>
    <n v="23.765484557933995"/>
    <n v="7759.75"/>
  </r>
  <r>
    <n v="100022"/>
    <x v="3"/>
    <x v="5"/>
    <x v="2"/>
    <x v="22"/>
    <n v="77601"/>
    <n v="596436"/>
    <n v="2704"/>
    <n v="6"/>
    <d v="2022-01-29T00:00:00"/>
    <n v="0.13009999999999999"/>
    <n v="4.5335962282625459"/>
    <n v="12933.5"/>
  </r>
  <r>
    <n v="100023"/>
    <x v="0"/>
    <x v="5"/>
    <x v="3"/>
    <x v="23"/>
    <n v="29510"/>
    <n v="183606"/>
    <n v="1242"/>
    <n v="22"/>
    <d v="2022-02-15T00:00:00"/>
    <n v="0.16070000000000001"/>
    <n v="6.7644848207574917"/>
    <n v="1341.3636363636363"/>
  </r>
  <r>
    <n v="100024"/>
    <x v="0"/>
    <x v="2"/>
    <x v="0"/>
    <x v="24"/>
    <n v="54251"/>
    <n v="745065"/>
    <n v="4573"/>
    <n v="20"/>
    <d v="2022-02-14T00:00:00"/>
    <n v="7.2800000000000004E-2"/>
    <n v="6.137719527826432"/>
    <n v="2712.55"/>
  </r>
  <r>
    <n v="100025"/>
    <x v="2"/>
    <x v="0"/>
    <x v="1"/>
    <x v="25"/>
    <n v="42835"/>
    <n v="243034"/>
    <n v="18"/>
    <n v="19"/>
    <d v="2022-02-14T00:00:00"/>
    <n v="0.17630000000000001"/>
    <n v="7.4063711250277733E-2"/>
    <n v="2254.4736842105262"/>
  </r>
  <r>
    <n v="100026"/>
    <x v="1"/>
    <x v="0"/>
    <x v="3"/>
    <x v="26"/>
    <n v="94908"/>
    <n v="818370"/>
    <n v="3006"/>
    <n v="10"/>
    <d v="2022-02-06T00:00:00"/>
    <n v="0.11600000000000001"/>
    <n v="3.6731551743099087"/>
    <n v="9490.7999999999993"/>
  </r>
  <r>
    <n v="100027"/>
    <x v="2"/>
    <x v="0"/>
    <x v="1"/>
    <x v="27"/>
    <n v="64540"/>
    <n v="342198"/>
    <n v="2199"/>
    <n v="23"/>
    <d v="2022-02-20T00:00:00"/>
    <n v="0.18859999999999999"/>
    <n v="6.4261041852962313"/>
    <n v="2806.086956521739"/>
  </r>
  <r>
    <n v="100028"/>
    <x v="2"/>
    <x v="4"/>
    <x v="1"/>
    <x v="28"/>
    <n v="42387"/>
    <n v="767627"/>
    <n v="3108"/>
    <n v="24"/>
    <d v="2022-02-22T00:00:00"/>
    <n v="5.5199999999999999E-2"/>
    <n v="4.0488414294963571"/>
    <n v="1766.125"/>
  </r>
  <r>
    <n v="100029"/>
    <x v="1"/>
    <x v="0"/>
    <x v="3"/>
    <x v="29"/>
    <n v="78786"/>
    <n v="784142"/>
    <n v="178"/>
    <n v="10"/>
    <d v="2022-02-09T00:00:00"/>
    <n v="0.10050000000000001"/>
    <n v="0.22699970158466198"/>
    <n v="7878.6"/>
  </r>
  <r>
    <n v="100030"/>
    <x v="0"/>
    <x v="6"/>
    <x v="3"/>
    <x v="30"/>
    <n v="25884"/>
    <n v="377896"/>
    <n v="1177"/>
    <n v="10"/>
    <d v="2022-02-10T00:00:00"/>
    <n v="6.8500000000000005E-2"/>
    <n v="3.1146135444672609"/>
    <n v="2588.4"/>
  </r>
  <r>
    <n v="100031"/>
    <x v="3"/>
    <x v="3"/>
    <x v="2"/>
    <x v="31"/>
    <n v="67139"/>
    <n v="384668"/>
    <n v="2988"/>
    <n v="14"/>
    <d v="2022-02-15T00:00:00"/>
    <n v="0.17449999999999999"/>
    <n v="7.767737373527301"/>
    <n v="4795.6428571428569"/>
  </r>
  <r>
    <n v="100032"/>
    <x v="2"/>
    <x v="5"/>
    <x v="1"/>
    <x v="32"/>
    <n v="53051"/>
    <n v="742569"/>
    <n v="4786"/>
    <n v="27"/>
    <d v="2022-03-01T00:00:00"/>
    <n v="7.1400000000000005E-2"/>
    <n v="6.4451922986281414"/>
    <n v="1964.851851851852"/>
  </r>
  <r>
    <n v="100033"/>
    <x v="2"/>
    <x v="0"/>
    <x v="4"/>
    <x v="33"/>
    <n v="16152"/>
    <n v="533092"/>
    <n v="4390"/>
    <n v="17"/>
    <d v="2022-02-20T00:00:00"/>
    <n v="3.0300000000000001E-2"/>
    <n v="8.2349763267878711"/>
    <n v="950.11764705882354"/>
  </r>
  <r>
    <n v="100034"/>
    <x v="1"/>
    <x v="3"/>
    <x v="4"/>
    <x v="34"/>
    <n v="56221"/>
    <n v="65176"/>
    <n v="2644"/>
    <n v="5"/>
    <d v="2022-02-09T00:00:00"/>
    <n v="0.86260000000000003"/>
    <n v="40.567079906714127"/>
    <n v="11244.2"/>
  </r>
  <r>
    <n v="100035"/>
    <x v="2"/>
    <x v="2"/>
    <x v="0"/>
    <x v="35"/>
    <n v="51945"/>
    <n v="870753"/>
    <n v="2188"/>
    <n v="8"/>
    <d v="2022-02-13T00:00:00"/>
    <n v="5.9700000000000003E-2"/>
    <n v="2.5127676849807008"/>
    <n v="6493.125"/>
  </r>
  <r>
    <n v="100036"/>
    <x v="2"/>
    <x v="0"/>
    <x v="4"/>
    <x v="36"/>
    <n v="91998"/>
    <n v="370665"/>
    <n v="1502"/>
    <n v="13"/>
    <d v="2022-02-19T00:00:00"/>
    <n v="0.2482"/>
    <n v="4.0521764935993412"/>
    <n v="7076.7692307692305"/>
  </r>
  <r>
    <n v="100037"/>
    <x v="1"/>
    <x v="6"/>
    <x v="3"/>
    <x v="37"/>
    <n v="95253"/>
    <n v="193054"/>
    <n v="994"/>
    <n v="7"/>
    <d v="2022-02-14T00:00:00"/>
    <n v="0.49340000000000001"/>
    <n v="5.1488184652998639"/>
    <n v="13607.571428571429"/>
  </r>
  <r>
    <n v="100038"/>
    <x v="2"/>
    <x v="6"/>
    <x v="0"/>
    <x v="38"/>
    <n v="18633"/>
    <n v="562636"/>
    <n v="4930"/>
    <n v="6"/>
    <d v="2022-02-14T00:00:00"/>
    <n v="3.3099999999999997E-2"/>
    <n v="8.7623259087580596"/>
    <n v="3105.5"/>
  </r>
  <r>
    <n v="100039"/>
    <x v="1"/>
    <x v="5"/>
    <x v="3"/>
    <x v="39"/>
    <n v="11377"/>
    <n v="943036"/>
    <n v="3012"/>
    <n v="2"/>
    <d v="2022-02-11T00:00:00"/>
    <n v="1.21E-2"/>
    <n v="3.193939573886893"/>
    <n v="5688.5"/>
  </r>
  <r>
    <n v="100040"/>
    <x v="1"/>
    <x v="1"/>
    <x v="0"/>
    <x v="40"/>
    <n v="70726"/>
    <n v="590195"/>
    <n v="1474"/>
    <n v="13"/>
    <d v="2022-02-23T00:00:00"/>
    <n v="0.1198"/>
    <n v="2.4974796465574935"/>
    <n v="5440.4615384615381"/>
  </r>
  <r>
    <n v="100041"/>
    <x v="0"/>
    <x v="5"/>
    <x v="3"/>
    <x v="41"/>
    <n v="56156"/>
    <n v="787107"/>
    <n v="3403"/>
    <n v="6"/>
    <d v="2022-02-17T00:00:00"/>
    <n v="7.1300000000000002E-2"/>
    <n v="4.3234274374386201"/>
    <n v="9359.3333333333339"/>
  </r>
  <r>
    <n v="100042"/>
    <x v="0"/>
    <x v="3"/>
    <x v="3"/>
    <x v="42"/>
    <n v="45946"/>
    <n v="744577"/>
    <n v="244"/>
    <n v="19"/>
    <d v="2022-03-03T00:00:00"/>
    <n v="6.1699999999999998E-2"/>
    <n v="0.32770284335938393"/>
    <n v="2418.2105263157896"/>
  </r>
  <r>
    <n v="100043"/>
    <x v="2"/>
    <x v="0"/>
    <x v="0"/>
    <x v="43"/>
    <n v="76982"/>
    <n v="819061"/>
    <n v="3039"/>
    <n v="23"/>
    <d v="2022-03-08T00:00:00"/>
    <n v="9.4E-2"/>
    <n v="3.710346360039118"/>
    <n v="3347.0434782608695"/>
  </r>
  <r>
    <n v="100044"/>
    <x v="0"/>
    <x v="6"/>
    <x v="0"/>
    <x v="44"/>
    <n v="22508"/>
    <n v="729703"/>
    <n v="2746"/>
    <n v="23"/>
    <d v="2022-03-09T00:00:00"/>
    <n v="3.0800000000000001E-2"/>
    <n v="3.7631748807391503"/>
    <n v="978.60869565217388"/>
  </r>
  <r>
    <n v="100045"/>
    <x v="0"/>
    <x v="6"/>
    <x v="2"/>
    <x v="45"/>
    <n v="8010"/>
    <n v="545063"/>
    <n v="2024"/>
    <n v="14"/>
    <d v="2022-03-01T00:00:00"/>
    <n v="1.47E-2"/>
    <n v="3.7133322203121475"/>
    <n v="572.14285714285711"/>
  </r>
  <r>
    <n v="100046"/>
    <x v="2"/>
    <x v="3"/>
    <x v="0"/>
    <x v="46"/>
    <n v="46553"/>
    <n v="590453"/>
    <n v="3497"/>
    <n v="23"/>
    <d v="2022-03-11T00:00:00"/>
    <n v="7.8799999999999995E-2"/>
    <n v="5.9225713138895051"/>
    <n v="2024.0434782608695"/>
  </r>
  <r>
    <n v="100047"/>
    <x v="2"/>
    <x v="1"/>
    <x v="2"/>
    <x v="47"/>
    <n v="55128"/>
    <n v="835097"/>
    <n v="1885"/>
    <n v="20"/>
    <d v="2022-03-09T00:00:00"/>
    <n v="6.6000000000000003E-2"/>
    <n v="2.2572228136372181"/>
    <n v="2756.4"/>
  </r>
  <r>
    <n v="100048"/>
    <x v="1"/>
    <x v="0"/>
    <x v="1"/>
    <x v="48"/>
    <n v="5209"/>
    <n v="610655"/>
    <n v="4501"/>
    <n v="23"/>
    <d v="2022-03-13T00:00:00"/>
    <n v="8.5000000000000006E-3"/>
    <n v="7.3707740049618851"/>
    <n v="226.47826086956522"/>
  </r>
  <r>
    <n v="100049"/>
    <x v="2"/>
    <x v="6"/>
    <x v="1"/>
    <x v="49"/>
    <n v="74484"/>
    <n v="901061"/>
    <n v="2887"/>
    <n v="15"/>
    <d v="2022-03-06T00:00:00"/>
    <n v="8.2699999999999996E-2"/>
    <n v="3.2040006170503439"/>
    <n v="4965.6000000000004"/>
  </r>
  <r>
    <n v="100050"/>
    <x v="2"/>
    <x v="1"/>
    <x v="0"/>
    <x v="50"/>
    <n v="79322"/>
    <n v="805572"/>
    <n v="4879"/>
    <n v="5"/>
    <d v="2022-02-25T00:00:00"/>
    <n v="9.8500000000000004E-2"/>
    <n v="6.0565660176868112"/>
    <n v="15864.4"/>
  </r>
  <r>
    <n v="100051"/>
    <x v="2"/>
    <x v="1"/>
    <x v="3"/>
    <x v="51"/>
    <n v="68391"/>
    <n v="446138"/>
    <n v="1200"/>
    <n v="15"/>
    <d v="2022-03-08T00:00:00"/>
    <n v="0.15329999999999999"/>
    <n v="2.6897507049388305"/>
    <n v="4559.3999999999996"/>
  </r>
  <r>
    <n v="100052"/>
    <x v="0"/>
    <x v="4"/>
    <x v="2"/>
    <x v="52"/>
    <n v="92192"/>
    <n v="570185"/>
    <n v="4154"/>
    <n v="12"/>
    <d v="2022-03-06T00:00:00"/>
    <n v="0.16170000000000001"/>
    <n v="7.2853547532818288"/>
    <n v="7682.666666666667"/>
  </r>
  <r>
    <n v="100053"/>
    <x v="1"/>
    <x v="5"/>
    <x v="3"/>
    <x v="53"/>
    <n v="37594"/>
    <n v="200808"/>
    <n v="191"/>
    <n v="10"/>
    <d v="2022-03-05T00:00:00"/>
    <n v="0.18720000000000001"/>
    <n v="0.95115732440938605"/>
    <n v="3759.4"/>
  </r>
  <r>
    <n v="100054"/>
    <x v="0"/>
    <x v="3"/>
    <x v="0"/>
    <x v="54"/>
    <n v="47307"/>
    <n v="714802"/>
    <n v="1182"/>
    <n v="10"/>
    <d v="2022-03-06T00:00:00"/>
    <n v="6.6199999999999995E-2"/>
    <n v="1.6536047744690139"/>
    <n v="4730.7"/>
  </r>
  <r>
    <n v="100055"/>
    <x v="0"/>
    <x v="4"/>
    <x v="4"/>
    <x v="55"/>
    <n v="68348"/>
    <n v="293838"/>
    <n v="439"/>
    <n v="7"/>
    <d v="2022-03-04T00:00:00"/>
    <n v="0.2326"/>
    <n v="1.4940205147053818"/>
    <n v="9764"/>
  </r>
  <r>
    <n v="100056"/>
    <x v="1"/>
    <x v="5"/>
    <x v="2"/>
    <x v="56"/>
    <n v="52889"/>
    <n v="456134"/>
    <n v="1740"/>
    <n v="3"/>
    <d v="2022-03-01T00:00:00"/>
    <n v="0.11600000000000001"/>
    <n v="3.8146684965382982"/>
    <n v="17629.666666666668"/>
  </r>
  <r>
    <n v="100057"/>
    <x v="1"/>
    <x v="4"/>
    <x v="1"/>
    <x v="57"/>
    <n v="33777"/>
    <n v="85832"/>
    <n v="2230"/>
    <n v="14"/>
    <d v="2022-03-13T00:00:00"/>
    <n v="0.39350000000000002"/>
    <n v="25.980986112405631"/>
    <n v="2412.6428571428573"/>
  </r>
  <r>
    <n v="100058"/>
    <x v="2"/>
    <x v="1"/>
    <x v="4"/>
    <x v="58"/>
    <n v="73657"/>
    <n v="510496"/>
    <n v="4732"/>
    <n v="17"/>
    <d v="2022-03-17T00:00:00"/>
    <n v="0.14430000000000001"/>
    <n v="9.2694164107064498"/>
    <n v="4332.7647058823532"/>
  </r>
  <r>
    <n v="100059"/>
    <x v="2"/>
    <x v="3"/>
    <x v="3"/>
    <x v="59"/>
    <n v="39557"/>
    <n v="773895"/>
    <n v="2235"/>
    <n v="10"/>
    <d v="2022-03-11T00:00:00"/>
    <n v="5.11E-2"/>
    <n v="2.8879886806349702"/>
    <n v="3955.7"/>
  </r>
  <r>
    <n v="100060"/>
    <x v="1"/>
    <x v="1"/>
    <x v="1"/>
    <x v="60"/>
    <n v="90065"/>
    <n v="871443"/>
    <n v="1674"/>
    <n v="14"/>
    <d v="2022-03-16T00:00:00"/>
    <n v="0.10340000000000001"/>
    <n v="1.9209518006341206"/>
    <n v="6433.2142857142853"/>
  </r>
  <r>
    <n v="100061"/>
    <x v="1"/>
    <x v="0"/>
    <x v="4"/>
    <x v="61"/>
    <n v="16051"/>
    <n v="272426"/>
    <n v="3565"/>
    <n v="17"/>
    <d v="2022-03-20T00:00:00"/>
    <n v="5.8900000000000001E-2"/>
    <n v="13.086122469955145"/>
    <n v="944.17647058823525"/>
  </r>
  <r>
    <n v="100062"/>
    <x v="1"/>
    <x v="0"/>
    <x v="0"/>
    <x v="62"/>
    <n v="58473"/>
    <n v="579913"/>
    <n v="3515"/>
    <n v="9"/>
    <d v="2022-03-13T00:00:00"/>
    <n v="0.1008"/>
    <n v="6.0612540156885597"/>
    <n v="6497"/>
  </r>
  <r>
    <n v="100063"/>
    <x v="0"/>
    <x v="1"/>
    <x v="3"/>
    <x v="63"/>
    <n v="35574"/>
    <n v="914958"/>
    <n v="1735"/>
    <n v="26"/>
    <d v="2022-03-31T00:00:00"/>
    <n v="3.8899999999999997E-2"/>
    <n v="1.89626190491804"/>
    <n v="1368.2307692307693"/>
  </r>
  <r>
    <n v="100064"/>
    <x v="1"/>
    <x v="1"/>
    <x v="1"/>
    <x v="64"/>
    <n v="9817"/>
    <n v="54246"/>
    <n v="2163"/>
    <n v="25"/>
    <d v="2022-03-31T00:00:00"/>
    <n v="0.18099999999999999"/>
    <n v="39.873907753567082"/>
    <n v="392.68"/>
  </r>
  <r>
    <n v="100065"/>
    <x v="1"/>
    <x v="4"/>
    <x v="2"/>
    <x v="65"/>
    <n v="25168"/>
    <n v="645095"/>
    <n v="4764"/>
    <n v="15"/>
    <d v="2022-03-22T00:00:00"/>
    <n v="3.9E-2"/>
    <n v="7.3849588045171641"/>
    <n v="1677.8666666666666"/>
  </r>
  <r>
    <n v="100066"/>
    <x v="1"/>
    <x v="6"/>
    <x v="3"/>
    <x v="66"/>
    <n v="35285"/>
    <n v="592582"/>
    <n v="941"/>
    <n v="14"/>
    <d v="2022-03-22T00:00:00"/>
    <n v="5.9499999999999997E-2"/>
    <n v="1.5879658848901923"/>
    <n v="2520.3571428571427"/>
  </r>
  <r>
    <n v="100067"/>
    <x v="2"/>
    <x v="2"/>
    <x v="4"/>
    <x v="67"/>
    <n v="20821"/>
    <n v="20266"/>
    <n v="2303"/>
    <n v="26"/>
    <d v="2022-04-04T00:00:00"/>
    <n v="1.0274000000000001"/>
    <n v="113.63860653310964"/>
    <n v="800.80769230769226"/>
  </r>
  <r>
    <n v="100068"/>
    <x v="2"/>
    <x v="3"/>
    <x v="0"/>
    <x v="68"/>
    <n v="14954"/>
    <n v="694205"/>
    <n v="1416"/>
    <n v="8"/>
    <d v="2022-03-18T00:00:00"/>
    <n v="2.1499999999999998E-2"/>
    <n v="2.0397433034910435"/>
    <n v="1869.25"/>
  </r>
  <r>
    <n v="100069"/>
    <x v="1"/>
    <x v="6"/>
    <x v="2"/>
    <x v="69"/>
    <n v="13862"/>
    <n v="917266"/>
    <n v="632"/>
    <n v="10"/>
    <d v="2022-03-21T00:00:00"/>
    <n v="1.5100000000000001E-2"/>
    <n v="0.68900406207141662"/>
    <n v="1386.2"/>
  </r>
  <r>
    <n v="100070"/>
    <x v="2"/>
    <x v="3"/>
    <x v="0"/>
    <x v="70"/>
    <n v="60577"/>
    <n v="967742"/>
    <n v="4136"/>
    <n v="28"/>
    <d v="2022-04-09T00:00:00"/>
    <n v="6.2600000000000003E-2"/>
    <n v="4.2738663817422413"/>
    <n v="2163.4642857142858"/>
  </r>
  <r>
    <n v="100071"/>
    <x v="1"/>
    <x v="4"/>
    <x v="4"/>
    <x v="71"/>
    <n v="1283"/>
    <n v="253347"/>
    <n v="1321"/>
    <n v="24"/>
    <d v="2022-04-06T00:00:00"/>
    <n v="5.1000000000000004E-3"/>
    <n v="5.2141923922525235"/>
    <n v="53.458333333333336"/>
  </r>
  <r>
    <n v="100072"/>
    <x v="0"/>
    <x v="3"/>
    <x v="4"/>
    <x v="72"/>
    <n v="81839"/>
    <n v="402126"/>
    <n v="3989"/>
    <n v="15"/>
    <d v="2022-03-29T00:00:00"/>
    <n v="0.20349999999999999"/>
    <n v="9.9197763884951478"/>
    <n v="5455.9333333333334"/>
  </r>
  <r>
    <n v="100073"/>
    <x v="2"/>
    <x v="3"/>
    <x v="3"/>
    <x v="73"/>
    <n v="59145"/>
    <n v="296370"/>
    <n v="3863"/>
    <n v="6"/>
    <d v="2022-03-21T00:00:00"/>
    <n v="0.1996"/>
    <n v="13.034382697304045"/>
    <n v="9857.5"/>
  </r>
  <r>
    <n v="100074"/>
    <x v="2"/>
    <x v="5"/>
    <x v="3"/>
    <x v="74"/>
    <n v="58854"/>
    <n v="954193"/>
    <n v="4775"/>
    <n v="2"/>
    <d v="2022-03-18T00:00:00"/>
    <n v="6.1699999999999998E-2"/>
    <n v="5.0042287042558478"/>
    <n v="29427"/>
  </r>
  <r>
    <n v="100075"/>
    <x v="2"/>
    <x v="3"/>
    <x v="3"/>
    <x v="75"/>
    <n v="67907"/>
    <n v="20559"/>
    <n v="4249"/>
    <n v="24"/>
    <d v="2022-04-10T00:00:00"/>
    <n v="3.3029999999999999"/>
    <n v="206.67347633639767"/>
    <n v="2829.4583333333335"/>
  </r>
  <r>
    <n v="100076"/>
    <x v="2"/>
    <x v="4"/>
    <x v="0"/>
    <x v="76"/>
    <n v="546"/>
    <n v="706942"/>
    <n v="4983"/>
    <n v="4"/>
    <d v="2022-03-22T00:00:00"/>
    <n v="8.0000000000000004E-4"/>
    <n v="7.0486687733930085"/>
    <n v="136.5"/>
  </r>
  <r>
    <n v="100077"/>
    <x v="1"/>
    <x v="2"/>
    <x v="0"/>
    <x v="77"/>
    <n v="40307"/>
    <n v="99522"/>
    <n v="913"/>
    <n v="19"/>
    <d v="2022-04-07T00:00:00"/>
    <n v="0.40500000000000003"/>
    <n v="9.1738510078173672"/>
    <n v="2121.4210526315787"/>
  </r>
  <r>
    <n v="100078"/>
    <x v="1"/>
    <x v="1"/>
    <x v="1"/>
    <x v="78"/>
    <n v="36062"/>
    <n v="514556"/>
    <n v="2687"/>
    <n v="7"/>
    <d v="2022-03-27T00:00:00"/>
    <n v="7.0099999999999996E-2"/>
    <n v="5.2219777827874907"/>
    <n v="5151.7142857142853"/>
  </r>
  <r>
    <n v="100079"/>
    <x v="0"/>
    <x v="6"/>
    <x v="0"/>
    <x v="79"/>
    <n v="83172"/>
    <n v="966560"/>
    <n v="632"/>
    <n v="3"/>
    <d v="2022-03-24T00:00:00"/>
    <n v="8.5999999999999993E-2"/>
    <n v="0.6538652540970038"/>
    <n v="27724"/>
  </r>
  <r>
    <n v="100080"/>
    <x v="1"/>
    <x v="2"/>
    <x v="0"/>
    <x v="80"/>
    <n v="44128"/>
    <n v="862711"/>
    <n v="974"/>
    <n v="21"/>
    <d v="2022-04-12T00:00:00"/>
    <n v="5.1200000000000002E-2"/>
    <n v="1.1289991665806973"/>
    <n v="2101.3333333333335"/>
  </r>
  <r>
    <n v="100081"/>
    <x v="1"/>
    <x v="1"/>
    <x v="4"/>
    <x v="81"/>
    <n v="35056"/>
    <n v="246712"/>
    <n v="3141"/>
    <n v="14"/>
    <d v="2022-04-06T00:00:00"/>
    <n v="0.1421"/>
    <n v="12.731443950841467"/>
    <n v="2504"/>
  </r>
  <r>
    <n v="100082"/>
    <x v="0"/>
    <x v="5"/>
    <x v="3"/>
    <x v="82"/>
    <n v="62613"/>
    <n v="63546"/>
    <n v="588"/>
    <n v="26"/>
    <d v="2022-04-19T00:00:00"/>
    <n v="0.98529999999999995"/>
    <n v="9.2531394580304038"/>
    <n v="2408.1923076923076"/>
  </r>
  <r>
    <n v="100083"/>
    <x v="2"/>
    <x v="4"/>
    <x v="2"/>
    <x v="83"/>
    <n v="14424"/>
    <n v="765026"/>
    <n v="3459"/>
    <n v="26"/>
    <d v="2022-04-20T00:00:00"/>
    <n v="1.89E-2"/>
    <n v="4.5214149584458569"/>
    <n v="554.76923076923072"/>
  </r>
  <r>
    <n v="100084"/>
    <x v="2"/>
    <x v="3"/>
    <x v="1"/>
    <x v="84"/>
    <n v="12046"/>
    <n v="271294"/>
    <n v="125"/>
    <n v="9"/>
    <d v="2022-04-04T00:00:00"/>
    <n v="4.4400000000000002E-2"/>
    <n v="0.46075475314603348"/>
    <n v="1338.4444444444443"/>
  </r>
  <r>
    <n v="100085"/>
    <x v="2"/>
    <x v="4"/>
    <x v="1"/>
    <x v="85"/>
    <n v="80889"/>
    <n v="745299"/>
    <n v="3313"/>
    <n v="7"/>
    <d v="2022-04-03T00:00:00"/>
    <n v="0.1085"/>
    <n v="4.4451958207377169"/>
    <n v="11555.571428571429"/>
  </r>
  <r>
    <n v="100086"/>
    <x v="0"/>
    <x v="5"/>
    <x v="1"/>
    <x v="86"/>
    <n v="50173"/>
    <n v="124085"/>
    <n v="3188"/>
    <n v="26"/>
    <d v="2022-04-23T00:00:00"/>
    <n v="0.40429999999999999"/>
    <n v="25.692065922553091"/>
    <n v="1929.7307692307693"/>
  </r>
  <r>
    <n v="100087"/>
    <x v="1"/>
    <x v="6"/>
    <x v="3"/>
    <x v="87"/>
    <n v="60999"/>
    <n v="373067"/>
    <n v="3862"/>
    <n v="18"/>
    <d v="2022-04-16T00:00:00"/>
    <n v="0.16350000000000001"/>
    <n v="10.352027919917871"/>
    <n v="3388.8333333333335"/>
  </r>
  <r>
    <n v="100088"/>
    <x v="2"/>
    <x v="1"/>
    <x v="1"/>
    <x v="88"/>
    <n v="22050"/>
    <n v="887799"/>
    <n v="3933"/>
    <n v="24"/>
    <d v="2022-04-23T00:00:00"/>
    <n v="2.4799999999999999E-2"/>
    <n v="4.4300568033980667"/>
    <n v="918.75"/>
  </r>
  <r>
    <n v="100089"/>
    <x v="1"/>
    <x v="5"/>
    <x v="1"/>
    <x v="89"/>
    <n v="21563"/>
    <n v="132334"/>
    <n v="4015"/>
    <n v="4"/>
    <d v="2022-04-04T00:00:00"/>
    <n v="0.16289999999999999"/>
    <n v="30.339897532002357"/>
    <n v="5390.75"/>
  </r>
  <r>
    <n v="100090"/>
    <x v="2"/>
    <x v="2"/>
    <x v="2"/>
    <x v="90"/>
    <n v="79681"/>
    <n v="683092"/>
    <n v="1737"/>
    <n v="11"/>
    <d v="2022-04-12T00:00:00"/>
    <n v="0.1166"/>
    <n v="2.5428492794528408"/>
    <n v="7243.727272727273"/>
  </r>
  <r>
    <n v="100091"/>
    <x v="1"/>
    <x v="0"/>
    <x v="0"/>
    <x v="91"/>
    <n v="96799"/>
    <n v="943218"/>
    <n v="4148"/>
    <n v="25"/>
    <d v="2022-04-27T00:00:00"/>
    <n v="0.1026"/>
    <n v="4.3977108155272697"/>
    <n v="3871.96"/>
  </r>
  <r>
    <n v="100092"/>
    <x v="1"/>
    <x v="4"/>
    <x v="4"/>
    <x v="92"/>
    <n v="98154"/>
    <n v="262533"/>
    <n v="413"/>
    <n v="5"/>
    <d v="2022-04-08T00:00:00"/>
    <n v="0.37390000000000001"/>
    <n v="1.5731355677191057"/>
    <n v="19630.8"/>
  </r>
  <r>
    <n v="100093"/>
    <x v="2"/>
    <x v="4"/>
    <x v="2"/>
    <x v="93"/>
    <n v="79052"/>
    <n v="301115"/>
    <n v="86"/>
    <n v="23"/>
    <d v="2022-04-27T00:00:00"/>
    <n v="0.26250000000000001"/>
    <n v="0.28560516746093684"/>
    <n v="3437.0434782608695"/>
  </r>
  <r>
    <n v="100094"/>
    <x v="2"/>
    <x v="1"/>
    <x v="3"/>
    <x v="94"/>
    <n v="36067"/>
    <n v="542774"/>
    <n v="1810"/>
    <n v="16"/>
    <d v="2022-04-21T00:00:00"/>
    <n v="6.6400000000000001E-2"/>
    <n v="3.3347212652043021"/>
    <n v="2254.1875"/>
  </r>
  <r>
    <n v="100095"/>
    <x v="1"/>
    <x v="1"/>
    <x v="3"/>
    <x v="95"/>
    <n v="19670"/>
    <n v="299556"/>
    <n v="741"/>
    <n v="1"/>
    <d v="2022-04-07T00:00:00"/>
    <n v="6.5699999999999995E-2"/>
    <n v="2.4736610183070944"/>
    <n v="19670"/>
  </r>
  <r>
    <n v="100096"/>
    <x v="2"/>
    <x v="1"/>
    <x v="4"/>
    <x v="96"/>
    <n v="73939"/>
    <n v="645587"/>
    <n v="3946"/>
    <n v="25"/>
    <d v="2022-05-02T00:00:00"/>
    <n v="0.1145"/>
    <n v="6.1122668207383359"/>
    <n v="2957.56"/>
  </r>
  <r>
    <n v="100097"/>
    <x v="2"/>
    <x v="2"/>
    <x v="0"/>
    <x v="97"/>
    <n v="732"/>
    <n v="396542"/>
    <n v="2299"/>
    <n v="1"/>
    <d v="2022-04-09T00:00:00"/>
    <n v="1.8E-3"/>
    <n v="5.7976204286052928"/>
    <n v="732"/>
  </r>
  <r>
    <n v="100098"/>
    <x v="2"/>
    <x v="6"/>
    <x v="2"/>
    <x v="98"/>
    <n v="35084"/>
    <n v="792744"/>
    <n v="3170"/>
    <n v="6"/>
    <d v="2022-04-15T00:00:00"/>
    <n v="4.4299999999999999E-2"/>
    <n v="3.9987688333181963"/>
    <n v="5847.333333333333"/>
  </r>
  <r>
    <n v="100099"/>
    <x v="3"/>
    <x v="3"/>
    <x v="1"/>
    <x v="99"/>
    <n v="20282"/>
    <n v="842018"/>
    <n v="390"/>
    <n v="2"/>
    <d v="2022-04-12T00:00:00"/>
    <n v="2.41E-2"/>
    <n v="0.46317299630174175"/>
    <n v="10141"/>
  </r>
  <r>
    <n v="100100"/>
    <x v="3"/>
    <x v="2"/>
    <x v="2"/>
    <x v="100"/>
    <n v="20391"/>
    <n v="28608"/>
    <n v="4131"/>
    <n v="2"/>
    <d v="2022-04-13T00:00:00"/>
    <n v="0.71279999999999999"/>
    <n v="144.40016778523491"/>
    <n v="10195.5"/>
  </r>
  <r>
    <n v="100101"/>
    <x v="1"/>
    <x v="1"/>
    <x v="4"/>
    <x v="101"/>
    <n v="95236"/>
    <n v="677630"/>
    <n v="4290"/>
    <n v="15"/>
    <d v="2022-04-27T00:00:00"/>
    <n v="0.14050000000000001"/>
    <n v="6.3308885379927098"/>
    <n v="6349.0666666666666"/>
  </r>
  <r>
    <n v="100102"/>
    <x v="2"/>
    <x v="6"/>
    <x v="2"/>
    <x v="102"/>
    <n v="3271"/>
    <n v="851811"/>
    <n v="226"/>
    <n v="5"/>
    <d v="2022-04-18T00:00:00"/>
    <n v="3.8E-3"/>
    <n v="0.26531707150999456"/>
    <n v="654.20000000000005"/>
  </r>
  <r>
    <n v="100103"/>
    <x v="3"/>
    <x v="6"/>
    <x v="4"/>
    <x v="103"/>
    <n v="9199"/>
    <n v="583288"/>
    <n v="2352"/>
    <n v="29"/>
    <d v="2022-05-13T00:00:00"/>
    <n v="1.5800000000000002E-2"/>
    <n v="4.032313368353198"/>
    <n v="317.20689655172413"/>
  </r>
  <r>
    <n v="100104"/>
    <x v="0"/>
    <x v="3"/>
    <x v="3"/>
    <x v="104"/>
    <n v="3274"/>
    <n v="408103"/>
    <n v="4454"/>
    <n v="29"/>
    <d v="2022-05-14T00:00:00"/>
    <n v="8.0000000000000002E-3"/>
    <n v="10.913911439023972"/>
    <n v="112.89655172413794"/>
  </r>
  <r>
    <n v="100105"/>
    <x v="0"/>
    <x v="5"/>
    <x v="2"/>
    <x v="105"/>
    <n v="53947"/>
    <n v="507079"/>
    <n v="105"/>
    <n v="23"/>
    <d v="2022-05-09T00:00:00"/>
    <n v="0.10639999999999999"/>
    <n v="0.2070683266315505"/>
    <n v="2345.521739130435"/>
  </r>
  <r>
    <n v="100106"/>
    <x v="1"/>
    <x v="1"/>
    <x v="2"/>
    <x v="106"/>
    <n v="78470"/>
    <n v="301569"/>
    <n v="1084"/>
    <n v="15"/>
    <d v="2022-05-02T00:00:00"/>
    <n v="0.26019999999999999"/>
    <n v="3.5945339209268856"/>
    <n v="5231.333333333333"/>
  </r>
  <r>
    <n v="100107"/>
    <x v="2"/>
    <x v="3"/>
    <x v="1"/>
    <x v="107"/>
    <n v="5648"/>
    <n v="261544"/>
    <n v="256"/>
    <n v="24"/>
    <d v="2022-05-06T00:00:00"/>
    <n v="2.1600000000000001E-2"/>
    <n v="0.97880280182302026"/>
    <n v="235.33333333333334"/>
  </r>
  <r>
    <n v="100108"/>
    <x v="2"/>
    <x v="1"/>
    <x v="2"/>
    <x v="108"/>
    <n v="94160"/>
    <n v="398210"/>
    <n v="3156"/>
    <n v="23"/>
    <d v="2022-05-12T00:00:00"/>
    <n v="0.23649999999999999"/>
    <n v="7.9254664624193261"/>
    <n v="4093.913043478261"/>
  </r>
  <r>
    <n v="100109"/>
    <x v="3"/>
    <x v="1"/>
    <x v="2"/>
    <x v="109"/>
    <n v="96502"/>
    <n v="72882"/>
    <n v="891"/>
    <n v="22"/>
    <d v="2022-05-12T00:00:00"/>
    <n v="1.3241000000000001"/>
    <n v="12.225240800197581"/>
    <n v="4386.454545454545"/>
  </r>
  <r>
    <n v="100110"/>
    <x v="1"/>
    <x v="5"/>
    <x v="3"/>
    <x v="110"/>
    <n v="13046"/>
    <n v="738786"/>
    <n v="1193"/>
    <n v="3"/>
    <d v="2022-04-24T00:00:00"/>
    <n v="1.77E-2"/>
    <n v="1.6148113256071446"/>
    <n v="4348.666666666667"/>
  </r>
  <r>
    <n v="100111"/>
    <x v="2"/>
    <x v="6"/>
    <x v="0"/>
    <x v="111"/>
    <n v="22169"/>
    <n v="307019"/>
    <n v="4477"/>
    <n v="2"/>
    <d v="2022-04-24T00:00:00"/>
    <n v="7.22E-2"/>
    <n v="14.582159410329655"/>
    <n v="11084.5"/>
  </r>
  <r>
    <n v="100112"/>
    <x v="2"/>
    <x v="4"/>
    <x v="2"/>
    <x v="112"/>
    <n v="38884"/>
    <n v="642465"/>
    <n v="3860"/>
    <n v="3"/>
    <d v="2022-04-26T00:00:00"/>
    <n v="6.0499999999999998E-2"/>
    <n v="6.0081093911730603"/>
    <n v="12961.333333333334"/>
  </r>
  <r>
    <n v="100113"/>
    <x v="1"/>
    <x v="2"/>
    <x v="1"/>
    <x v="113"/>
    <n v="26444"/>
    <n v="293480"/>
    <n v="978"/>
    <n v="22"/>
    <d v="2022-05-16T00:00:00"/>
    <n v="9.01E-2"/>
    <n v="3.3324246967425379"/>
    <n v="1202"/>
  </r>
  <r>
    <n v="100114"/>
    <x v="2"/>
    <x v="2"/>
    <x v="4"/>
    <x v="114"/>
    <n v="77597"/>
    <n v="3432"/>
    <n v="4321"/>
    <n v="27"/>
    <d v="2022-05-22T00:00:00"/>
    <n v="22.6098"/>
    <n v="1259.0326340326342"/>
    <n v="2873.962962962963"/>
  </r>
  <r>
    <n v="100115"/>
    <x v="0"/>
    <x v="2"/>
    <x v="2"/>
    <x v="115"/>
    <n v="82376"/>
    <n v="749141"/>
    <n v="73"/>
    <n v="20"/>
    <d v="2022-05-16T00:00:00"/>
    <n v="0.11"/>
    <n v="9.7444940271591063E-2"/>
    <n v="4118.8"/>
  </r>
  <r>
    <n v="100116"/>
    <x v="0"/>
    <x v="4"/>
    <x v="2"/>
    <x v="116"/>
    <n v="76710"/>
    <n v="954399"/>
    <n v="3098"/>
    <n v="29"/>
    <d v="2022-05-26T00:00:00"/>
    <n v="8.0399999999999999E-2"/>
    <n v="3.2460218420178566"/>
    <n v="2645.1724137931033"/>
  </r>
  <r>
    <n v="100117"/>
    <x v="0"/>
    <x v="0"/>
    <x v="1"/>
    <x v="117"/>
    <n v="42809"/>
    <n v="225396"/>
    <n v="4877"/>
    <n v="3"/>
    <d v="2022-05-01T00:00:00"/>
    <n v="0.18990000000000001"/>
    <n v="21.637473602016009"/>
    <n v="14269.666666666666"/>
  </r>
  <r>
    <n v="100118"/>
    <x v="1"/>
    <x v="1"/>
    <x v="0"/>
    <x v="118"/>
    <n v="88590"/>
    <n v="21663"/>
    <n v="559"/>
    <n v="2"/>
    <d v="2022-05-01T00:00:00"/>
    <n v="4.0895000000000001"/>
    <n v="25.804366892858791"/>
    <n v="44295"/>
  </r>
  <r>
    <n v="100119"/>
    <x v="1"/>
    <x v="6"/>
    <x v="4"/>
    <x v="119"/>
    <n v="6793"/>
    <n v="64476"/>
    <n v="3283"/>
    <n v="29"/>
    <d v="2022-05-29T00:00:00"/>
    <n v="0.10539999999999999"/>
    <n v="50.91817110242571"/>
    <n v="234.24137931034483"/>
  </r>
  <r>
    <n v="100120"/>
    <x v="1"/>
    <x v="0"/>
    <x v="3"/>
    <x v="120"/>
    <n v="87175"/>
    <n v="178177"/>
    <n v="3371"/>
    <n v="16"/>
    <d v="2022-05-17T00:00:00"/>
    <n v="0.48930000000000001"/>
    <n v="18.919389146747335"/>
    <n v="5448.4375"/>
  </r>
  <r>
    <n v="100121"/>
    <x v="1"/>
    <x v="0"/>
    <x v="3"/>
    <x v="121"/>
    <n v="60722"/>
    <n v="838775"/>
    <n v="248"/>
    <n v="10"/>
    <d v="2022-05-12T00:00:00"/>
    <n v="7.2400000000000006E-2"/>
    <n v="0.29566927960418465"/>
    <n v="6072.2"/>
  </r>
  <r>
    <n v="100122"/>
    <x v="2"/>
    <x v="2"/>
    <x v="4"/>
    <x v="122"/>
    <n v="53738"/>
    <n v="723951"/>
    <n v="1855"/>
    <n v="22"/>
    <d v="2022-05-25T00:00:00"/>
    <n v="7.4200000000000002E-2"/>
    <n v="2.5623281133667888"/>
    <n v="2442.6363636363635"/>
  </r>
  <r>
    <n v="100123"/>
    <x v="1"/>
    <x v="1"/>
    <x v="4"/>
    <x v="123"/>
    <n v="89356"/>
    <n v="956081"/>
    <n v="2373"/>
    <n v="27"/>
    <d v="2022-05-31T00:00:00"/>
    <n v="9.35E-2"/>
    <n v="2.4820072776260589"/>
    <n v="3309.4814814814813"/>
  </r>
  <r>
    <n v="100124"/>
    <x v="2"/>
    <x v="0"/>
    <x v="0"/>
    <x v="124"/>
    <n v="99357"/>
    <n v="958664"/>
    <n v="607"/>
    <n v="28"/>
    <d v="2022-06-02T00:00:00"/>
    <n v="0.1036"/>
    <n v="0.63317283219146647"/>
    <n v="3548.4642857142858"/>
  </r>
  <r>
    <n v="100125"/>
    <x v="1"/>
    <x v="6"/>
    <x v="2"/>
    <x v="125"/>
    <n v="32820"/>
    <n v="627719"/>
    <n v="1211"/>
    <n v="27"/>
    <d v="2022-06-02T00:00:00"/>
    <n v="5.2299999999999999E-2"/>
    <n v="1.9292071770967583"/>
    <n v="1215.5555555555557"/>
  </r>
  <r>
    <n v="100126"/>
    <x v="2"/>
    <x v="2"/>
    <x v="1"/>
    <x v="126"/>
    <n v="52163"/>
    <n v="305713"/>
    <n v="4520"/>
    <n v="23"/>
    <d v="2022-05-30T00:00:00"/>
    <n v="0.1706"/>
    <n v="14.785108909336534"/>
    <n v="2267.9565217391305"/>
  </r>
  <r>
    <n v="100127"/>
    <x v="2"/>
    <x v="3"/>
    <x v="1"/>
    <x v="127"/>
    <n v="38333"/>
    <n v="156332"/>
    <n v="3394"/>
    <n v="8"/>
    <d v="2022-05-16T00:00:00"/>
    <n v="0.2452"/>
    <n v="21.710206483637386"/>
    <n v="4791.625"/>
  </r>
  <r>
    <n v="100128"/>
    <x v="2"/>
    <x v="0"/>
    <x v="2"/>
    <x v="128"/>
    <n v="20172"/>
    <n v="722186"/>
    <n v="923"/>
    <n v="23"/>
    <d v="2022-06-01T00:00:00"/>
    <n v="2.7900000000000001E-2"/>
    <n v="1.2780640998302375"/>
    <n v="877.04347826086962"/>
  </r>
  <r>
    <n v="100129"/>
    <x v="1"/>
    <x v="6"/>
    <x v="3"/>
    <x v="129"/>
    <n v="29556"/>
    <n v="473989"/>
    <n v="3825"/>
    <n v="2"/>
    <d v="2022-05-12T00:00:00"/>
    <n v="6.2399999999999997E-2"/>
    <n v="8.0698075271789005"/>
    <n v="14778"/>
  </r>
  <r>
    <n v="100130"/>
    <x v="2"/>
    <x v="5"/>
    <x v="0"/>
    <x v="130"/>
    <n v="79731"/>
    <n v="66162"/>
    <n v="4922"/>
    <n v="14"/>
    <d v="2022-05-25T00:00:00"/>
    <n v="1.2051000000000001"/>
    <n v="74.393156192376281"/>
    <n v="5695.0714285714284"/>
  </r>
  <r>
    <n v="100131"/>
    <x v="3"/>
    <x v="1"/>
    <x v="3"/>
    <x v="131"/>
    <n v="80601"/>
    <n v="71798"/>
    <n v="1833"/>
    <n v="6"/>
    <d v="2022-05-18T00:00:00"/>
    <n v="1.1226"/>
    <n v="25.529959051784171"/>
    <n v="13433.5"/>
  </r>
  <r>
    <n v="100132"/>
    <x v="1"/>
    <x v="1"/>
    <x v="3"/>
    <x v="132"/>
    <n v="72957"/>
    <n v="618852"/>
    <n v="1938"/>
    <n v="5"/>
    <d v="2022-05-18T00:00:00"/>
    <n v="0.1179"/>
    <n v="3.1316049717864689"/>
    <n v="14591.4"/>
  </r>
  <r>
    <n v="100133"/>
    <x v="2"/>
    <x v="6"/>
    <x v="4"/>
    <x v="133"/>
    <n v="47967"/>
    <n v="670002"/>
    <n v="1575"/>
    <n v="10"/>
    <d v="2022-05-24T00:00:00"/>
    <n v="7.1599999999999997E-2"/>
    <n v="2.3507392515246224"/>
    <n v="4796.7"/>
  </r>
  <r>
    <n v="100134"/>
    <x v="1"/>
    <x v="1"/>
    <x v="1"/>
    <x v="134"/>
    <n v="82189"/>
    <n v="220943"/>
    <n v="3501"/>
    <n v="3"/>
    <d v="2022-05-18T00:00:00"/>
    <n v="0.372"/>
    <n v="15.845715863367474"/>
    <n v="27396.333333333332"/>
  </r>
  <r>
    <n v="100135"/>
    <x v="2"/>
    <x v="5"/>
    <x v="3"/>
    <x v="135"/>
    <n v="54965"/>
    <n v="331179"/>
    <n v="4152"/>
    <n v="2"/>
    <d v="2022-05-18T00:00:00"/>
    <n v="0.16600000000000001"/>
    <n v="12.537026804235778"/>
    <n v="27482.5"/>
  </r>
  <r>
    <n v="100136"/>
    <x v="3"/>
    <x v="4"/>
    <x v="0"/>
    <x v="136"/>
    <n v="12342"/>
    <n v="120893"/>
    <n v="3250"/>
    <n v="22"/>
    <d v="2022-06-08T00:00:00"/>
    <n v="0.1021"/>
    <n v="26.883276947383223"/>
    <n v="561"/>
  </r>
  <r>
    <n v="100137"/>
    <x v="1"/>
    <x v="0"/>
    <x v="1"/>
    <x v="137"/>
    <n v="76631"/>
    <n v="926767"/>
    <n v="2678"/>
    <n v="27"/>
    <d v="2022-06-14T00:00:00"/>
    <n v="8.2699999999999996E-2"/>
    <n v="2.8896151891467867"/>
    <n v="2838.1851851851852"/>
  </r>
  <r>
    <n v="100138"/>
    <x v="0"/>
    <x v="0"/>
    <x v="4"/>
    <x v="138"/>
    <n v="67121"/>
    <n v="124644"/>
    <n v="922"/>
    <n v="11"/>
    <d v="2022-05-30T00:00:00"/>
    <n v="0.53849999999999998"/>
    <n v="7.3970668463784861"/>
    <n v="6101.909090909091"/>
  </r>
  <r>
    <n v="100139"/>
    <x v="2"/>
    <x v="2"/>
    <x v="0"/>
    <x v="139"/>
    <n v="33853"/>
    <n v="508137"/>
    <n v="1107"/>
    <n v="2"/>
    <d v="2022-05-22T00:00:00"/>
    <n v="6.6600000000000006E-2"/>
    <n v="2.1785463369130764"/>
    <n v="16926.5"/>
  </r>
  <r>
    <n v="100140"/>
    <x v="1"/>
    <x v="1"/>
    <x v="1"/>
    <x v="140"/>
    <n v="69473"/>
    <n v="521689"/>
    <n v="1858"/>
    <n v="14"/>
    <d v="2022-06-04T00:00:00"/>
    <n v="0.13320000000000001"/>
    <n v="3.5615088683104301"/>
    <n v="4962.3571428571431"/>
  </r>
  <r>
    <n v="100141"/>
    <x v="1"/>
    <x v="4"/>
    <x v="3"/>
    <x v="141"/>
    <n v="47358"/>
    <n v="425137"/>
    <n v="4559"/>
    <n v="14"/>
    <d v="2022-06-05T00:00:00"/>
    <n v="0.1114"/>
    <n v="10.723602038872174"/>
    <n v="3382.7142857142858"/>
  </r>
  <r>
    <n v="100142"/>
    <x v="3"/>
    <x v="0"/>
    <x v="1"/>
    <x v="142"/>
    <n v="41519"/>
    <n v="605437"/>
    <n v="3526"/>
    <n v="13"/>
    <d v="2022-06-05T00:00:00"/>
    <n v="6.8599999999999994E-2"/>
    <n v="5.823892494181889"/>
    <n v="3193.7692307692309"/>
  </r>
  <r>
    <n v="100143"/>
    <x v="1"/>
    <x v="3"/>
    <x v="0"/>
    <x v="143"/>
    <n v="32146"/>
    <n v="184608"/>
    <n v="3105"/>
    <n v="17"/>
    <d v="2022-06-10T00:00:00"/>
    <n v="0.1741"/>
    <n v="16.819422776911079"/>
    <n v="1890.9411764705883"/>
  </r>
  <r>
    <n v="100144"/>
    <x v="1"/>
    <x v="0"/>
    <x v="2"/>
    <x v="144"/>
    <n v="11672"/>
    <n v="976241"/>
    <n v="2650"/>
    <n v="12"/>
    <d v="2022-06-06T00:00:00"/>
    <n v="1.2E-2"/>
    <n v="2.7144936547430398"/>
    <n v="972.66666666666663"/>
  </r>
  <r>
    <n v="100145"/>
    <x v="2"/>
    <x v="5"/>
    <x v="4"/>
    <x v="145"/>
    <n v="60284"/>
    <n v="214132"/>
    <n v="4994"/>
    <n v="25"/>
    <d v="2022-06-20T00:00:00"/>
    <n v="0.28149999999999997"/>
    <n v="23.322063026544374"/>
    <n v="2411.36"/>
  </r>
  <r>
    <n v="100146"/>
    <x v="2"/>
    <x v="1"/>
    <x v="0"/>
    <x v="146"/>
    <n v="42016"/>
    <n v="736295"/>
    <n v="4074"/>
    <n v="14"/>
    <d v="2022-06-10T00:00:00"/>
    <n v="5.7099999999999998E-2"/>
    <n v="5.5331083329372053"/>
    <n v="3001.1428571428573"/>
  </r>
  <r>
    <n v="100147"/>
    <x v="1"/>
    <x v="1"/>
    <x v="4"/>
    <x v="147"/>
    <n v="77632"/>
    <n v="294778"/>
    <n v="4533"/>
    <n v="12"/>
    <d v="2022-06-09T00:00:00"/>
    <n v="0.26340000000000002"/>
    <n v="15.377674046231402"/>
    <n v="6469.333333333333"/>
  </r>
  <r>
    <n v="100148"/>
    <x v="1"/>
    <x v="6"/>
    <x v="2"/>
    <x v="148"/>
    <n v="26076"/>
    <n v="72827"/>
    <n v="2222"/>
    <n v="18"/>
    <d v="2022-06-16T00:00:00"/>
    <n v="0.35809999999999997"/>
    <n v="30.510662254383675"/>
    <n v="1448.6666666666667"/>
  </r>
  <r>
    <n v="100149"/>
    <x v="2"/>
    <x v="1"/>
    <x v="0"/>
    <x v="149"/>
    <n v="6682"/>
    <n v="7138"/>
    <n v="3132"/>
    <n v="24"/>
    <d v="2022-06-23T00:00:00"/>
    <n v="0.93610000000000004"/>
    <n v="438.77836929111794"/>
    <n v="278.41666666666669"/>
  </r>
  <r>
    <n v="100150"/>
    <x v="0"/>
    <x v="3"/>
    <x v="1"/>
    <x v="150"/>
    <n v="76646"/>
    <n v="587474"/>
    <n v="4078"/>
    <n v="24"/>
    <d v="2022-06-24T00:00:00"/>
    <n v="0.1305"/>
    <n v="6.9415837977510497"/>
    <n v="3193.5833333333335"/>
  </r>
  <r>
    <n v="100151"/>
    <x v="0"/>
    <x v="0"/>
    <x v="4"/>
    <x v="151"/>
    <n v="25808"/>
    <n v="967446"/>
    <n v="1184"/>
    <n v="25"/>
    <d v="2022-06-26T00:00:00"/>
    <n v="2.6700000000000002E-2"/>
    <n v="1.2238409172191522"/>
    <n v="1032.32"/>
  </r>
  <r>
    <n v="100152"/>
    <x v="2"/>
    <x v="6"/>
    <x v="1"/>
    <x v="152"/>
    <n v="83880"/>
    <n v="669320"/>
    <n v="568"/>
    <n v="9"/>
    <d v="2022-06-11T00:00:00"/>
    <n v="0.12529999999999999"/>
    <n v="0.84862248251957206"/>
    <n v="9320"/>
  </r>
  <r>
    <n v="100153"/>
    <x v="1"/>
    <x v="6"/>
    <x v="0"/>
    <x v="153"/>
    <n v="50680"/>
    <n v="668727"/>
    <n v="405"/>
    <n v="8"/>
    <d v="2022-06-11T00:00:00"/>
    <n v="7.5800000000000006E-2"/>
    <n v="0.60562830572116877"/>
    <n v="6335"/>
  </r>
  <r>
    <n v="100154"/>
    <x v="2"/>
    <x v="0"/>
    <x v="0"/>
    <x v="154"/>
    <n v="78141"/>
    <n v="221022"/>
    <n v="4071"/>
    <n v="25"/>
    <d v="2022-06-29T00:00:00"/>
    <n v="0.35349999999999998"/>
    <n v="18.418980915926923"/>
    <n v="3125.64"/>
  </r>
  <r>
    <n v="100155"/>
    <x v="1"/>
    <x v="1"/>
    <x v="3"/>
    <x v="155"/>
    <n v="11406"/>
    <n v="605139"/>
    <n v="2970"/>
    <n v="21"/>
    <d v="2022-06-26T00:00:00"/>
    <n v="1.8800000000000001E-2"/>
    <n v="4.9079632943836051"/>
    <n v="543.14285714285711"/>
  </r>
  <r>
    <n v="100156"/>
    <x v="2"/>
    <x v="2"/>
    <x v="4"/>
    <x v="156"/>
    <n v="81723"/>
    <n v="37180"/>
    <n v="4812"/>
    <n v="26"/>
    <d v="2022-07-02T00:00:00"/>
    <n v="2.198"/>
    <n v="129.42442173211404"/>
    <n v="3143.1923076923076"/>
  </r>
  <r>
    <n v="100157"/>
    <x v="1"/>
    <x v="1"/>
    <x v="1"/>
    <x v="157"/>
    <n v="81229"/>
    <n v="27419"/>
    <n v="4989"/>
    <n v="24"/>
    <d v="2022-07-01T00:00:00"/>
    <n v="2.9624999999999999"/>
    <n v="181.95411940625115"/>
    <n v="3384.5416666666665"/>
  </r>
  <r>
    <n v="100158"/>
    <x v="0"/>
    <x v="2"/>
    <x v="2"/>
    <x v="158"/>
    <n v="46995"/>
    <n v="170162"/>
    <n v="844"/>
    <n v="21"/>
    <d v="2022-06-29T00:00:00"/>
    <n v="0.2762"/>
    <n v="4.9599793138303498"/>
    <n v="2237.8571428571427"/>
  </r>
  <r>
    <n v="100159"/>
    <x v="0"/>
    <x v="5"/>
    <x v="0"/>
    <x v="159"/>
    <n v="19889"/>
    <n v="558826"/>
    <n v="2104"/>
    <n v="15"/>
    <d v="2022-06-24T00:00:00"/>
    <n v="3.56E-2"/>
    <n v="3.7650359861566929"/>
    <n v="1325.9333333333334"/>
  </r>
  <r>
    <n v="100160"/>
    <x v="2"/>
    <x v="4"/>
    <x v="1"/>
    <x v="160"/>
    <n v="87601"/>
    <n v="66153"/>
    <n v="2917"/>
    <n v="8"/>
    <d v="2022-06-18T00:00:00"/>
    <n v="1.3242"/>
    <n v="44.094750049128535"/>
    <n v="10950.125"/>
  </r>
  <r>
    <n v="100161"/>
    <x v="3"/>
    <x v="0"/>
    <x v="3"/>
    <x v="161"/>
    <n v="9299"/>
    <n v="854551"/>
    <n v="3738"/>
    <n v="14"/>
    <d v="2022-06-25T00:00:00"/>
    <n v="1.09E-2"/>
    <n v="4.3742269332081989"/>
    <n v="664.21428571428567"/>
  </r>
  <r>
    <n v="100162"/>
    <x v="2"/>
    <x v="6"/>
    <x v="3"/>
    <x v="162"/>
    <n v="27628"/>
    <n v="906738"/>
    <n v="4217"/>
    <n v="28"/>
    <d v="2022-07-10T00:00:00"/>
    <n v="3.0499999999999999E-2"/>
    <n v="4.6507370376007175"/>
    <n v="986.71428571428567"/>
  </r>
  <r>
    <n v="100163"/>
    <x v="2"/>
    <x v="2"/>
    <x v="2"/>
    <x v="163"/>
    <n v="25558"/>
    <n v="382324"/>
    <n v="4647"/>
    <n v="23"/>
    <d v="2022-07-06T00:00:00"/>
    <n v="6.6799999999999998E-2"/>
    <n v="12.154612318347789"/>
    <n v="1111.2173913043478"/>
  </r>
  <r>
    <n v="100164"/>
    <x v="1"/>
    <x v="3"/>
    <x v="1"/>
    <x v="164"/>
    <n v="1253"/>
    <n v="691130"/>
    <n v="3796"/>
    <n v="29"/>
    <d v="2022-07-13T00:00:00"/>
    <n v="1.8E-3"/>
    <n v="5.4924543862949085"/>
    <n v="43.206896551724135"/>
  </r>
  <r>
    <n v="100165"/>
    <x v="2"/>
    <x v="2"/>
    <x v="2"/>
    <x v="165"/>
    <n v="82098"/>
    <n v="185352"/>
    <n v="4941"/>
    <n v="10"/>
    <d v="2022-06-25T00:00:00"/>
    <n v="0.44290000000000002"/>
    <n v="26.657387025767189"/>
    <n v="8209.7999999999993"/>
  </r>
  <r>
    <n v="100166"/>
    <x v="0"/>
    <x v="0"/>
    <x v="0"/>
    <x v="166"/>
    <n v="61530"/>
    <n v="444357"/>
    <n v="290"/>
    <n v="18"/>
    <d v="2022-07-04T00:00:00"/>
    <n v="0.13850000000000001"/>
    <n v="0.65262840463861271"/>
    <n v="3418.3333333333335"/>
  </r>
  <r>
    <n v="100167"/>
    <x v="0"/>
    <x v="0"/>
    <x v="0"/>
    <x v="167"/>
    <n v="75971"/>
    <n v="819661"/>
    <n v="1655"/>
    <n v="9"/>
    <d v="2022-06-26T00:00:00"/>
    <n v="9.2700000000000005E-2"/>
    <n v="2.0191274197503604"/>
    <n v="8441.2222222222226"/>
  </r>
  <r>
    <n v="100168"/>
    <x v="2"/>
    <x v="1"/>
    <x v="0"/>
    <x v="168"/>
    <n v="34487"/>
    <n v="614203"/>
    <n v="4115"/>
    <n v="26"/>
    <d v="2022-07-14T00:00:00"/>
    <n v="5.6099999999999997E-2"/>
    <n v="6.6997393369944467"/>
    <n v="1326.4230769230769"/>
  </r>
  <r>
    <n v="100169"/>
    <x v="3"/>
    <x v="5"/>
    <x v="1"/>
    <x v="169"/>
    <n v="62164"/>
    <n v="465628"/>
    <n v="480"/>
    <n v="16"/>
    <d v="2022-07-05T00:00:00"/>
    <n v="0.13350000000000001"/>
    <n v="1.0308658414012903"/>
    <n v="3885.25"/>
  </r>
  <r>
    <n v="100170"/>
    <x v="2"/>
    <x v="0"/>
    <x v="4"/>
    <x v="170"/>
    <n v="8820"/>
    <n v="55149"/>
    <n v="2671"/>
    <n v="14"/>
    <d v="2022-07-04T00:00:00"/>
    <n v="0.15989999999999999"/>
    <n v="48.432428511849714"/>
    <n v="630"/>
  </r>
  <r>
    <n v="100171"/>
    <x v="1"/>
    <x v="5"/>
    <x v="3"/>
    <x v="171"/>
    <n v="92560"/>
    <n v="254593"/>
    <n v="1218"/>
    <n v="24"/>
    <d v="2022-07-15T00:00:00"/>
    <n v="0.36359999999999998"/>
    <n v="4.7841063972693672"/>
    <n v="3856.6666666666665"/>
  </r>
  <r>
    <n v="100172"/>
    <x v="2"/>
    <x v="1"/>
    <x v="4"/>
    <x v="172"/>
    <n v="47635"/>
    <n v="35767"/>
    <n v="3369"/>
    <n v="2"/>
    <d v="2022-06-24T00:00:00"/>
    <n v="1.3318000000000001"/>
    <n v="94.192971174546358"/>
    <n v="23817.5"/>
  </r>
  <r>
    <n v="100173"/>
    <x v="3"/>
    <x v="4"/>
    <x v="2"/>
    <x v="173"/>
    <n v="6604"/>
    <n v="218881"/>
    <n v="3240"/>
    <n v="9"/>
    <d v="2022-07-02T00:00:00"/>
    <n v="3.0200000000000001E-2"/>
    <n v="14.802563950274351"/>
    <n v="733.77777777777783"/>
  </r>
  <r>
    <n v="100174"/>
    <x v="2"/>
    <x v="4"/>
    <x v="4"/>
    <x v="174"/>
    <n v="56529"/>
    <n v="600073"/>
    <n v="647"/>
    <n v="10"/>
    <d v="2022-07-04T00:00:00"/>
    <n v="9.4200000000000006E-2"/>
    <n v="1.0782021520714979"/>
    <n v="5652.9"/>
  </r>
  <r>
    <n v="100175"/>
    <x v="2"/>
    <x v="0"/>
    <x v="1"/>
    <x v="175"/>
    <n v="30556"/>
    <n v="847073"/>
    <n v="354"/>
    <n v="26"/>
    <d v="2022-07-21T00:00:00"/>
    <n v="3.61E-2"/>
    <n v="0.41790967248395355"/>
    <n v="1175.2307692307693"/>
  </r>
  <r>
    <n v="100176"/>
    <x v="1"/>
    <x v="5"/>
    <x v="0"/>
    <x v="176"/>
    <n v="78424"/>
    <n v="787561"/>
    <n v="2763"/>
    <n v="7"/>
    <d v="2022-07-03T00:00:00"/>
    <n v="9.9599999999999994E-2"/>
    <n v="3.5082996745648907"/>
    <n v="11203.428571428571"/>
  </r>
  <r>
    <n v="100177"/>
    <x v="3"/>
    <x v="1"/>
    <x v="4"/>
    <x v="177"/>
    <n v="24777"/>
    <n v="733699"/>
    <n v="530"/>
    <n v="19"/>
    <d v="2022-07-16T00:00:00"/>
    <n v="3.3799999999999997E-2"/>
    <n v="0.72236707423616497"/>
    <n v="1304.0526315789473"/>
  </r>
  <r>
    <n v="100178"/>
    <x v="0"/>
    <x v="5"/>
    <x v="4"/>
    <x v="178"/>
    <n v="78232"/>
    <n v="767977"/>
    <n v="4419"/>
    <n v="23"/>
    <d v="2022-07-21T00:00:00"/>
    <n v="0.1019"/>
    <n v="5.7540785726655876"/>
    <n v="3401.391304347826"/>
  </r>
  <r>
    <n v="100179"/>
    <x v="0"/>
    <x v="5"/>
    <x v="0"/>
    <x v="179"/>
    <n v="95296"/>
    <n v="990787"/>
    <n v="3853"/>
    <n v="4"/>
    <d v="2022-07-03T00:00:00"/>
    <n v="9.6199999999999994E-2"/>
    <n v="3.8888277702472882"/>
    <n v="23824"/>
  </r>
  <r>
    <n v="100180"/>
    <x v="0"/>
    <x v="1"/>
    <x v="1"/>
    <x v="180"/>
    <n v="82532"/>
    <n v="366404"/>
    <n v="3760"/>
    <n v="4"/>
    <d v="2022-07-04T00:00:00"/>
    <n v="0.22520000000000001"/>
    <n v="10.261896704184451"/>
    <n v="20633"/>
  </r>
  <r>
    <n v="100181"/>
    <x v="0"/>
    <x v="2"/>
    <x v="2"/>
    <x v="181"/>
    <n v="52056"/>
    <n v="775667"/>
    <n v="258"/>
    <n v="18"/>
    <d v="2022-07-19T00:00:00"/>
    <n v="6.7100000000000007E-2"/>
    <n v="0.33261696062872342"/>
    <n v="2892"/>
  </r>
  <r>
    <n v="100182"/>
    <x v="1"/>
    <x v="0"/>
    <x v="2"/>
    <x v="182"/>
    <n v="22279"/>
    <n v="437966"/>
    <n v="2212"/>
    <n v="3"/>
    <d v="2022-07-05T00:00:00"/>
    <n v="5.0900000000000001E-2"/>
    <n v="5.0506203677911072"/>
    <n v="7426.333333333333"/>
  </r>
  <r>
    <n v="100183"/>
    <x v="2"/>
    <x v="2"/>
    <x v="1"/>
    <x v="183"/>
    <n v="32086"/>
    <n v="270006"/>
    <n v="209"/>
    <n v="7"/>
    <d v="2022-07-10T00:00:00"/>
    <n v="0.1188"/>
    <n v="0.77405687281023383"/>
    <n v="4583.7142857142853"/>
  </r>
  <r>
    <n v="100184"/>
    <x v="0"/>
    <x v="5"/>
    <x v="1"/>
    <x v="184"/>
    <n v="75917"/>
    <n v="230305"/>
    <n v="764"/>
    <n v="12"/>
    <d v="2022-07-16T00:00:00"/>
    <n v="0.3296"/>
    <n v="3.3173400490653702"/>
    <n v="6326.416666666667"/>
  </r>
  <r>
    <n v="100185"/>
    <x v="1"/>
    <x v="0"/>
    <x v="2"/>
    <x v="185"/>
    <n v="10250"/>
    <n v="753987"/>
    <n v="1999"/>
    <n v="15"/>
    <d v="2022-07-20T00:00:00"/>
    <n v="1.3599999999999999E-2"/>
    <n v="2.6512393449754437"/>
    <n v="683.33333333333337"/>
  </r>
  <r>
    <n v="100186"/>
    <x v="2"/>
    <x v="0"/>
    <x v="0"/>
    <x v="186"/>
    <n v="69109"/>
    <n v="555703"/>
    <n v="3652"/>
    <n v="9"/>
    <d v="2022-07-15T00:00:00"/>
    <n v="0.1244"/>
    <n v="6.5718558294628613"/>
    <n v="7678.7777777777774"/>
  </r>
  <r>
    <n v="100187"/>
    <x v="2"/>
    <x v="5"/>
    <x v="0"/>
    <x v="187"/>
    <n v="48510"/>
    <n v="716487"/>
    <n v="230"/>
    <n v="2"/>
    <d v="2022-07-09T00:00:00"/>
    <n v="6.7699999999999996E-2"/>
    <n v="0.32101070919639851"/>
    <n v="24255"/>
  </r>
  <r>
    <n v="100188"/>
    <x v="0"/>
    <x v="0"/>
    <x v="1"/>
    <x v="188"/>
    <n v="13599"/>
    <n v="146277"/>
    <n v="4280"/>
    <n v="13"/>
    <d v="2022-07-21T00:00:00"/>
    <n v="9.2999999999999999E-2"/>
    <n v="29.259555500864796"/>
    <n v="1046.0769230769231"/>
  </r>
  <r>
    <n v="100189"/>
    <x v="2"/>
    <x v="2"/>
    <x v="2"/>
    <x v="189"/>
    <n v="62433"/>
    <n v="622157"/>
    <n v="4450"/>
    <n v="12"/>
    <d v="2022-07-21T00:00:00"/>
    <n v="0.1003"/>
    <n v="7.1525354532698335"/>
    <n v="5202.75"/>
  </r>
  <r>
    <n v="100190"/>
    <x v="3"/>
    <x v="6"/>
    <x v="4"/>
    <x v="190"/>
    <n v="34275"/>
    <n v="547688"/>
    <n v="4438"/>
    <n v="9"/>
    <d v="2022-07-19T00:00:00"/>
    <n v="6.2600000000000003E-2"/>
    <n v="8.1031536203093726"/>
    <n v="3808.3333333333335"/>
  </r>
  <r>
    <n v="100191"/>
    <x v="2"/>
    <x v="2"/>
    <x v="0"/>
    <x v="191"/>
    <n v="63346"/>
    <n v="517968"/>
    <n v="4928"/>
    <n v="20"/>
    <d v="2022-07-31T00:00:00"/>
    <n v="0.12230000000000001"/>
    <n v="9.5141012572205224"/>
    <n v="3167.3"/>
  </r>
  <r>
    <n v="100192"/>
    <x v="2"/>
    <x v="3"/>
    <x v="0"/>
    <x v="192"/>
    <n v="68695"/>
    <n v="223052"/>
    <n v="4613"/>
    <n v="16"/>
    <d v="2022-07-28T00:00:00"/>
    <n v="0.308"/>
    <n v="20.681276114986641"/>
    <n v="4293.4375"/>
  </r>
  <r>
    <n v="100193"/>
    <x v="0"/>
    <x v="3"/>
    <x v="3"/>
    <x v="193"/>
    <n v="88981"/>
    <n v="976804"/>
    <n v="96"/>
    <n v="8"/>
    <d v="2022-07-21T00:00:00"/>
    <n v="9.11E-2"/>
    <n v="9.8279695824341429E-2"/>
    <n v="11122.625"/>
  </r>
  <r>
    <n v="100194"/>
    <x v="2"/>
    <x v="3"/>
    <x v="1"/>
    <x v="194"/>
    <n v="54285"/>
    <n v="201623"/>
    <n v="1317"/>
    <n v="28"/>
    <d v="2022-08-11T00:00:00"/>
    <n v="0.26919999999999999"/>
    <n v="6.5319928777966805"/>
    <n v="1938.75"/>
  </r>
  <r>
    <n v="100195"/>
    <x v="2"/>
    <x v="0"/>
    <x v="0"/>
    <x v="195"/>
    <n v="18041"/>
    <n v="154470"/>
    <n v="149"/>
    <n v="22"/>
    <d v="2022-08-06T00:00:00"/>
    <n v="0.1168"/>
    <n v="0.96458859325435353"/>
    <n v="820.0454545454545"/>
  </r>
  <r>
    <n v="100196"/>
    <x v="1"/>
    <x v="0"/>
    <x v="3"/>
    <x v="196"/>
    <n v="96145"/>
    <n v="397284"/>
    <n v="3036"/>
    <n v="23"/>
    <d v="2022-08-08T00:00:00"/>
    <n v="0.24199999999999999"/>
    <n v="7.641888422388015"/>
    <n v="4180.217391304348"/>
  </r>
  <r>
    <n v="100197"/>
    <x v="0"/>
    <x v="2"/>
    <x v="4"/>
    <x v="197"/>
    <n v="6927"/>
    <n v="489774"/>
    <n v="3374"/>
    <n v="24"/>
    <d v="2022-08-10T00:00:00"/>
    <n v="1.41E-2"/>
    <n v="6.8888916112329364"/>
    <n v="288.625"/>
  </r>
  <r>
    <n v="100198"/>
    <x v="2"/>
    <x v="5"/>
    <x v="1"/>
    <x v="198"/>
    <n v="62545"/>
    <n v="794680"/>
    <n v="103"/>
    <n v="8"/>
    <d v="2022-07-26T00:00:00"/>
    <n v="7.8700000000000006E-2"/>
    <n v="0.12961191926309962"/>
    <n v="7818.125"/>
  </r>
  <r>
    <n v="100199"/>
    <x v="2"/>
    <x v="2"/>
    <x v="0"/>
    <x v="199"/>
    <n v="48106"/>
    <n v="783710"/>
    <n v="1981"/>
    <n v="6"/>
    <d v="2022-07-25T00:00:00"/>
    <n v="6.1400000000000003E-2"/>
    <n v="2.5277207130188466"/>
    <n v="8017.666666666667"/>
  </r>
  <r>
    <n v="100200"/>
    <x v="0"/>
    <x v="6"/>
    <x v="0"/>
    <x v="200"/>
    <n v="5992"/>
    <n v="453153"/>
    <n v="2475"/>
    <n v="2"/>
    <d v="2022-07-22T00:00:00"/>
    <n v="1.32E-2"/>
    <n v="5.4617314681796216"/>
    <n v="2996"/>
  </r>
  <r>
    <n v="100201"/>
    <x v="3"/>
    <x v="2"/>
    <x v="3"/>
    <x v="201"/>
    <n v="94388"/>
    <n v="279693"/>
    <n v="4094"/>
    <n v="21"/>
    <d v="2022-08-11T00:00:00"/>
    <n v="0.33750000000000002"/>
    <n v="14.637477519995137"/>
    <n v="4494.666666666667"/>
  </r>
  <r>
    <n v="100202"/>
    <x v="1"/>
    <x v="1"/>
    <x v="1"/>
    <x v="202"/>
    <n v="89711"/>
    <n v="149206"/>
    <n v="2865"/>
    <n v="3"/>
    <d v="2022-07-25T00:00:00"/>
    <n v="0.60129999999999995"/>
    <n v="19.201640684690961"/>
    <n v="29903.666666666668"/>
  </r>
  <r>
    <n v="100203"/>
    <x v="2"/>
    <x v="5"/>
    <x v="4"/>
    <x v="203"/>
    <n v="82752"/>
    <n v="556106"/>
    <n v="4653"/>
    <n v="17"/>
    <d v="2022-08-09T00:00:00"/>
    <n v="0.14879999999999999"/>
    <n v="8.3671098675432383"/>
    <n v="4867.7647058823532"/>
  </r>
  <r>
    <n v="100204"/>
    <x v="2"/>
    <x v="1"/>
    <x v="1"/>
    <x v="204"/>
    <n v="62376"/>
    <n v="933053"/>
    <n v="1495"/>
    <n v="7"/>
    <d v="2022-07-31T00:00:00"/>
    <n v="6.6900000000000001E-2"/>
    <n v="1.6022669666139009"/>
    <n v="8910.8571428571431"/>
  </r>
  <r>
    <n v="100205"/>
    <x v="2"/>
    <x v="3"/>
    <x v="4"/>
    <x v="205"/>
    <n v="38880"/>
    <n v="209435"/>
    <n v="1344"/>
    <n v="12"/>
    <d v="2022-08-06T00:00:00"/>
    <n v="0.18559999999999999"/>
    <n v="6.4172655000358105"/>
    <n v="3240"/>
  </r>
  <r>
    <n v="100206"/>
    <x v="2"/>
    <x v="5"/>
    <x v="1"/>
    <x v="206"/>
    <n v="41618"/>
    <n v="543745"/>
    <n v="1439"/>
    <n v="20"/>
    <d v="2022-08-15T00:00:00"/>
    <n v="7.6499999999999999E-2"/>
    <n v="2.6464611168838337"/>
    <n v="2080.9"/>
  </r>
  <r>
    <n v="100207"/>
    <x v="1"/>
    <x v="1"/>
    <x v="0"/>
    <x v="207"/>
    <n v="89985"/>
    <n v="396847"/>
    <n v="2696"/>
    <n v="28"/>
    <d v="2022-08-24T00:00:00"/>
    <n v="0.22670000000000001"/>
    <n v="6.793550159129337"/>
    <n v="3213.75"/>
  </r>
  <r>
    <n v="100208"/>
    <x v="2"/>
    <x v="0"/>
    <x v="0"/>
    <x v="208"/>
    <n v="67202"/>
    <n v="922211"/>
    <n v="394"/>
    <n v="3"/>
    <d v="2022-07-31T00:00:00"/>
    <n v="7.2900000000000006E-2"/>
    <n v="0.42723411453561061"/>
    <n v="22400.666666666668"/>
  </r>
  <r>
    <n v="100209"/>
    <x v="1"/>
    <x v="3"/>
    <x v="3"/>
    <x v="209"/>
    <n v="18932"/>
    <n v="419983"/>
    <n v="920"/>
    <n v="10"/>
    <d v="2022-08-08T00:00:00"/>
    <n v="4.5100000000000001E-2"/>
    <n v="2.1905648561965601"/>
    <n v="1893.2"/>
  </r>
  <r>
    <n v="100210"/>
    <x v="1"/>
    <x v="6"/>
    <x v="3"/>
    <x v="210"/>
    <n v="59155"/>
    <n v="218379"/>
    <n v="4827"/>
    <n v="18"/>
    <d v="2022-08-17T00:00:00"/>
    <n v="0.27089999999999997"/>
    <n v="22.103773714505515"/>
    <n v="3286.3888888888887"/>
  </r>
  <r>
    <n v="100211"/>
    <x v="1"/>
    <x v="0"/>
    <x v="1"/>
    <x v="211"/>
    <n v="1302"/>
    <n v="852761"/>
    <n v="4261"/>
    <n v="22"/>
    <d v="2022-08-22T00:00:00"/>
    <n v="1.5E-3"/>
    <n v="4.9967106844707958"/>
    <n v="59.18181818181818"/>
  </r>
  <r>
    <n v="100212"/>
    <x v="2"/>
    <x v="4"/>
    <x v="0"/>
    <x v="212"/>
    <n v="36567"/>
    <n v="579301"/>
    <n v="4015"/>
    <n v="26"/>
    <d v="2022-08-27T00:00:00"/>
    <n v="6.3100000000000003E-2"/>
    <n v="6.9307665617701337"/>
    <n v="1406.4230769230769"/>
  </r>
  <r>
    <n v="100213"/>
    <x v="0"/>
    <x v="3"/>
    <x v="3"/>
    <x v="213"/>
    <n v="57100"/>
    <n v="897543"/>
    <n v="3647"/>
    <n v="3"/>
    <d v="2022-08-05T00:00:00"/>
    <n v="6.3600000000000004E-2"/>
    <n v="4.0633150723697922"/>
    <n v="19033.333333333332"/>
  </r>
  <r>
    <n v="100214"/>
    <x v="0"/>
    <x v="3"/>
    <x v="4"/>
    <x v="214"/>
    <n v="7343"/>
    <n v="4028"/>
    <n v="3548"/>
    <n v="16"/>
    <d v="2022-08-19T00:00:00"/>
    <n v="1.823"/>
    <n v="880.83416087388275"/>
    <n v="458.9375"/>
  </r>
  <r>
    <n v="100215"/>
    <x v="0"/>
    <x v="5"/>
    <x v="3"/>
    <x v="215"/>
    <n v="82229"/>
    <n v="214396"/>
    <n v="2886"/>
    <n v="25"/>
    <d v="2022-08-29T00:00:00"/>
    <n v="0.38350000000000001"/>
    <n v="13.461072034926024"/>
    <n v="3289.16"/>
  </r>
  <r>
    <n v="100216"/>
    <x v="2"/>
    <x v="4"/>
    <x v="3"/>
    <x v="216"/>
    <n v="26920"/>
    <n v="659085"/>
    <n v="4329"/>
    <n v="6"/>
    <d v="2022-08-11T00:00:00"/>
    <n v="4.0800000000000003E-2"/>
    <n v="6.5681968183163022"/>
    <n v="4486.666666666667"/>
  </r>
  <r>
    <n v="100217"/>
    <x v="2"/>
    <x v="0"/>
    <x v="0"/>
    <x v="217"/>
    <n v="95189"/>
    <n v="11130"/>
    <n v="2781"/>
    <n v="23"/>
    <d v="2022-08-29T00:00:00"/>
    <n v="8.5525000000000002"/>
    <n v="249.86522911051213"/>
    <n v="4138.652173913043"/>
  </r>
  <r>
    <n v="100218"/>
    <x v="3"/>
    <x v="0"/>
    <x v="2"/>
    <x v="218"/>
    <n v="28343"/>
    <n v="949727"/>
    <n v="3902"/>
    <n v="6"/>
    <d v="2022-08-13T00:00:00"/>
    <n v="2.98E-2"/>
    <n v="4.1085490883169582"/>
    <n v="4723.833333333333"/>
  </r>
  <r>
    <n v="100219"/>
    <x v="2"/>
    <x v="6"/>
    <x v="3"/>
    <x v="219"/>
    <n v="34437"/>
    <n v="174209"/>
    <n v="55"/>
    <n v="25"/>
    <d v="2022-09-02T00:00:00"/>
    <n v="0.19769999999999999"/>
    <n v="0.31571273585176424"/>
    <n v="1377.48"/>
  </r>
  <r>
    <n v="100220"/>
    <x v="2"/>
    <x v="3"/>
    <x v="0"/>
    <x v="220"/>
    <n v="32496"/>
    <n v="638695"/>
    <n v="2391"/>
    <n v="24"/>
    <d v="2022-09-02T00:00:00"/>
    <n v="5.0900000000000001E-2"/>
    <n v="3.7435708749872787"/>
    <n v="1354"/>
  </r>
  <r>
    <n v="100221"/>
    <x v="1"/>
    <x v="1"/>
    <x v="3"/>
    <x v="221"/>
    <n v="48668"/>
    <n v="426043"/>
    <n v="4476"/>
    <n v="4"/>
    <d v="2022-08-14T00:00:00"/>
    <n v="0.1142"/>
    <n v="10.505981790570434"/>
    <n v="12167"/>
  </r>
  <r>
    <n v="100222"/>
    <x v="1"/>
    <x v="3"/>
    <x v="0"/>
    <x v="222"/>
    <n v="75068"/>
    <n v="830663"/>
    <n v="4820"/>
    <n v="17"/>
    <d v="2022-08-28T00:00:00"/>
    <n v="9.0399999999999994E-2"/>
    <n v="5.8025938316742165"/>
    <n v="4415.7647058823532"/>
  </r>
  <r>
    <n v="100223"/>
    <x v="3"/>
    <x v="3"/>
    <x v="0"/>
    <x v="223"/>
    <n v="15947"/>
    <n v="732898"/>
    <n v="961"/>
    <n v="16"/>
    <d v="2022-08-28T00:00:00"/>
    <n v="2.18E-2"/>
    <n v="1.3112329410095267"/>
    <n v="996.6875"/>
  </r>
  <r>
    <n v="100224"/>
    <x v="2"/>
    <x v="2"/>
    <x v="0"/>
    <x v="224"/>
    <n v="78701"/>
    <n v="221189"/>
    <n v="2648"/>
    <n v="18"/>
    <d v="2022-08-31T00:00:00"/>
    <n v="0.35580000000000001"/>
    <n v="11.971662243601626"/>
    <n v="4372.2777777777774"/>
  </r>
  <r>
    <n v="100225"/>
    <x v="3"/>
    <x v="6"/>
    <x v="1"/>
    <x v="225"/>
    <n v="6980"/>
    <n v="836224"/>
    <n v="1965"/>
    <n v="24"/>
    <d v="2022-09-07T00:00:00"/>
    <n v="8.3000000000000001E-3"/>
    <n v="2.3498488443287919"/>
    <n v="290.83333333333331"/>
  </r>
  <r>
    <n v="100226"/>
    <x v="2"/>
    <x v="3"/>
    <x v="1"/>
    <x v="226"/>
    <n v="4518"/>
    <n v="881345"/>
    <n v="2310"/>
    <n v="7"/>
    <d v="2022-08-22T00:00:00"/>
    <n v="5.1000000000000004E-3"/>
    <n v="2.6209940488684906"/>
    <n v="645.42857142857144"/>
  </r>
  <r>
    <n v="100227"/>
    <x v="1"/>
    <x v="3"/>
    <x v="4"/>
    <x v="227"/>
    <n v="19161"/>
    <n v="196950"/>
    <n v="942"/>
    <n v="6"/>
    <d v="2022-08-22T00:00:00"/>
    <n v="9.7299999999999998E-2"/>
    <n v="4.7829398324447832"/>
    <n v="3193.5"/>
  </r>
  <r>
    <n v="100228"/>
    <x v="1"/>
    <x v="2"/>
    <x v="2"/>
    <x v="228"/>
    <n v="61563"/>
    <n v="702309"/>
    <n v="109"/>
    <n v="26"/>
    <d v="2022-09-12T00:00:00"/>
    <n v="8.77E-2"/>
    <n v="0.155202339710868"/>
    <n v="2367.8076923076924"/>
  </r>
  <r>
    <n v="100229"/>
    <x v="2"/>
    <x v="0"/>
    <x v="2"/>
    <x v="229"/>
    <n v="96938"/>
    <n v="792099"/>
    <n v="3003"/>
    <n v="21"/>
    <d v="2022-09-08T00:00:00"/>
    <n v="0.12239999999999999"/>
    <n v="3.79119276757072"/>
    <n v="4616.0952380952385"/>
  </r>
  <r>
    <n v="100230"/>
    <x v="2"/>
    <x v="4"/>
    <x v="2"/>
    <x v="230"/>
    <n v="9543"/>
    <n v="907757"/>
    <n v="2349"/>
    <n v="17"/>
    <d v="2022-09-05T00:00:00"/>
    <n v="1.0500000000000001E-2"/>
    <n v="2.5876969277020172"/>
    <n v="561.35294117647061"/>
  </r>
  <r>
    <n v="100231"/>
    <x v="1"/>
    <x v="3"/>
    <x v="4"/>
    <x v="231"/>
    <n v="4240"/>
    <n v="471330"/>
    <n v="839"/>
    <n v="1"/>
    <d v="2022-08-21T00:00:00"/>
    <n v="8.9999999999999993E-3"/>
    <n v="1.7800691659771286"/>
    <n v="4240"/>
  </r>
  <r>
    <n v="100232"/>
    <x v="3"/>
    <x v="1"/>
    <x v="2"/>
    <x v="232"/>
    <n v="24557"/>
    <n v="121433"/>
    <n v="2265"/>
    <n v="7"/>
    <d v="2022-08-28T00:00:00"/>
    <n v="0.20219999999999999"/>
    <n v="18.652260917543007"/>
    <n v="3508.1428571428573"/>
  </r>
  <r>
    <n v="100233"/>
    <x v="1"/>
    <x v="3"/>
    <x v="1"/>
    <x v="233"/>
    <n v="33413"/>
    <n v="79106"/>
    <n v="3217"/>
    <n v="26"/>
    <d v="2022-09-17T00:00:00"/>
    <n v="0.4224"/>
    <n v="40.666953202032715"/>
    <n v="1285.1153846153845"/>
  </r>
  <r>
    <n v="100234"/>
    <x v="3"/>
    <x v="0"/>
    <x v="3"/>
    <x v="234"/>
    <n v="95021"/>
    <n v="679646"/>
    <n v="433"/>
    <n v="6"/>
    <d v="2022-08-29T00:00:00"/>
    <n v="0.13980000000000001"/>
    <n v="0.63709637075771797"/>
    <n v="15836.833333333334"/>
  </r>
  <r>
    <n v="100235"/>
    <x v="0"/>
    <x v="2"/>
    <x v="0"/>
    <x v="235"/>
    <n v="45545"/>
    <n v="613987"/>
    <n v="2410"/>
    <n v="27"/>
    <d v="2022-09-20T00:00:00"/>
    <n v="7.4200000000000002E-2"/>
    <n v="3.9251645393143502"/>
    <n v="1686.851851851852"/>
  </r>
  <r>
    <n v="100236"/>
    <x v="1"/>
    <x v="5"/>
    <x v="4"/>
    <x v="236"/>
    <n v="38530"/>
    <n v="113172"/>
    <n v="2946"/>
    <n v="10"/>
    <d v="2022-09-04T00:00:00"/>
    <n v="0.34050000000000002"/>
    <n v="26.03117378856961"/>
    <n v="3853"/>
  </r>
  <r>
    <n v="100237"/>
    <x v="0"/>
    <x v="0"/>
    <x v="2"/>
    <x v="237"/>
    <n v="18582"/>
    <n v="154314"/>
    <n v="697"/>
    <n v="12"/>
    <d v="2022-09-07T00:00:00"/>
    <n v="0.12039999999999999"/>
    <n v="4.5167645190974248"/>
    <n v="1548.5"/>
  </r>
  <r>
    <n v="100238"/>
    <x v="2"/>
    <x v="4"/>
    <x v="2"/>
    <x v="238"/>
    <n v="92770"/>
    <n v="113163"/>
    <n v="67"/>
    <n v="13"/>
    <d v="2022-09-09T00:00:00"/>
    <n v="0.81979999999999997"/>
    <n v="0.59206631142687971"/>
    <n v="7136.1538461538457"/>
  </r>
  <r>
    <n v="100239"/>
    <x v="2"/>
    <x v="6"/>
    <x v="2"/>
    <x v="239"/>
    <n v="93064"/>
    <n v="862422"/>
    <n v="3473"/>
    <n v="21"/>
    <d v="2022-09-18T00:00:00"/>
    <n v="0.1079"/>
    <n v="4.0270308503261738"/>
    <n v="4431.6190476190477"/>
  </r>
  <r>
    <n v="100240"/>
    <x v="0"/>
    <x v="1"/>
    <x v="4"/>
    <x v="240"/>
    <n v="78867"/>
    <n v="186665"/>
    <n v="4745"/>
    <n v="1"/>
    <d v="2022-08-30T00:00:00"/>
    <n v="0.42249999999999999"/>
    <n v="25.419869820266253"/>
    <n v="78867"/>
  </r>
  <r>
    <n v="100241"/>
    <x v="0"/>
    <x v="5"/>
    <x v="1"/>
    <x v="241"/>
    <n v="76464"/>
    <n v="314841"/>
    <n v="3831"/>
    <n v="20"/>
    <d v="2022-09-19T00:00:00"/>
    <n v="0.2429"/>
    <n v="12.168046728348594"/>
    <n v="3823.2"/>
  </r>
  <r>
    <n v="100242"/>
    <x v="2"/>
    <x v="6"/>
    <x v="1"/>
    <x v="242"/>
    <n v="85886"/>
    <n v="917036"/>
    <n v="2883"/>
    <n v="20"/>
    <d v="2022-09-20T00:00:00"/>
    <n v="9.3700000000000006E-2"/>
    <n v="3.14382423372692"/>
    <n v="4294.3"/>
  </r>
  <r>
    <n v="100243"/>
    <x v="1"/>
    <x v="0"/>
    <x v="4"/>
    <x v="243"/>
    <n v="46330"/>
    <n v="467935"/>
    <n v="1213"/>
    <n v="13"/>
    <d v="2022-09-14T00:00:00"/>
    <n v="9.9000000000000005E-2"/>
    <n v="2.5922403752657956"/>
    <n v="3563.8461538461538"/>
  </r>
  <r>
    <n v="100244"/>
    <x v="1"/>
    <x v="4"/>
    <x v="3"/>
    <x v="244"/>
    <n v="40502"/>
    <n v="884245"/>
    <n v="2356"/>
    <n v="24"/>
    <d v="2022-09-26T00:00:00"/>
    <n v="4.58E-2"/>
    <n v="2.6644199288658688"/>
    <n v="1687.5833333333333"/>
  </r>
  <r>
    <n v="100245"/>
    <x v="0"/>
    <x v="1"/>
    <x v="2"/>
    <x v="245"/>
    <n v="191"/>
    <n v="197238"/>
    <n v="629"/>
    <n v="5"/>
    <d v="2022-09-08T00:00:00"/>
    <n v="1E-3"/>
    <n v="3.1890406513957754"/>
    <n v="38.200000000000003"/>
  </r>
  <r>
    <n v="100246"/>
    <x v="1"/>
    <x v="2"/>
    <x v="2"/>
    <x v="246"/>
    <n v="94677"/>
    <n v="758960"/>
    <n v="1472"/>
    <n v="19"/>
    <d v="2022-09-23T00:00:00"/>
    <n v="0.12470000000000001"/>
    <n v="1.9394961526299146"/>
    <n v="4983"/>
  </r>
  <r>
    <n v="100247"/>
    <x v="1"/>
    <x v="1"/>
    <x v="1"/>
    <x v="247"/>
    <n v="68777"/>
    <n v="247452"/>
    <n v="2629"/>
    <n v="7"/>
    <d v="2022-09-12T00:00:00"/>
    <n v="0.27789999999999998"/>
    <n v="10.624282689168002"/>
    <n v="9825.2857142857138"/>
  </r>
  <r>
    <n v="100248"/>
    <x v="2"/>
    <x v="4"/>
    <x v="3"/>
    <x v="248"/>
    <n v="13547"/>
    <n v="622216"/>
    <n v="4450"/>
    <n v="1"/>
    <d v="2022-09-07T00:00:00"/>
    <n v="2.18E-2"/>
    <n v="7.1518572328580428"/>
    <n v="13547"/>
  </r>
  <r>
    <n v="100249"/>
    <x v="1"/>
    <x v="3"/>
    <x v="2"/>
    <x v="249"/>
    <n v="5466"/>
    <n v="203718"/>
    <n v="1140"/>
    <n v="10"/>
    <d v="2022-09-17T00:00:00"/>
    <n v="2.6800000000000001E-2"/>
    <n v="5.5959709009513148"/>
    <n v="546.6"/>
  </r>
  <r>
    <n v="100250"/>
    <x v="1"/>
    <x v="2"/>
    <x v="2"/>
    <x v="250"/>
    <n v="49946"/>
    <n v="721736"/>
    <n v="3766"/>
    <n v="22"/>
    <d v="2022-09-30T00:00:00"/>
    <n v="6.9199999999999998E-2"/>
    <n v="5.2179744394072074"/>
    <n v="2270.2727272727275"/>
  </r>
  <r>
    <n v="100251"/>
    <x v="0"/>
    <x v="1"/>
    <x v="2"/>
    <x v="251"/>
    <n v="35919"/>
    <n v="483840"/>
    <n v="92"/>
    <n v="7"/>
    <d v="2022-09-16T00:00:00"/>
    <n v="7.4200000000000002E-2"/>
    <n v="0.19014550264550265"/>
    <n v="5131.2857142857147"/>
  </r>
  <r>
    <n v="100252"/>
    <x v="1"/>
    <x v="3"/>
    <x v="1"/>
    <x v="252"/>
    <n v="61711"/>
    <n v="878166"/>
    <n v="4716"/>
    <n v="6"/>
    <d v="2022-09-16T00:00:00"/>
    <n v="7.0300000000000001E-2"/>
    <n v="5.3702830672105275"/>
    <n v="10285.166666666666"/>
  </r>
  <r>
    <n v="100253"/>
    <x v="2"/>
    <x v="2"/>
    <x v="3"/>
    <x v="253"/>
    <n v="35034"/>
    <n v="772087"/>
    <n v="3334"/>
    <n v="2"/>
    <d v="2022-09-13T00:00:00"/>
    <n v="4.5400000000000003E-2"/>
    <n v="4.3181662170195843"/>
    <n v="17517"/>
  </r>
  <r>
    <n v="100254"/>
    <x v="2"/>
    <x v="6"/>
    <x v="2"/>
    <x v="254"/>
    <n v="41915"/>
    <n v="539331"/>
    <n v="1928"/>
    <n v="15"/>
    <d v="2022-09-27T00:00:00"/>
    <n v="7.7700000000000005E-2"/>
    <n v="3.5747991493164681"/>
    <n v="2794.3333333333335"/>
  </r>
  <r>
    <n v="100255"/>
    <x v="0"/>
    <x v="2"/>
    <x v="2"/>
    <x v="255"/>
    <n v="72041"/>
    <n v="446014"/>
    <n v="4934"/>
    <n v="17"/>
    <d v="2022-09-30T00:00:00"/>
    <n v="0.1615"/>
    <n v="11.062433017797646"/>
    <n v="4237.7058823529414"/>
  </r>
  <r>
    <n v="100256"/>
    <x v="0"/>
    <x v="2"/>
    <x v="3"/>
    <x v="256"/>
    <n v="57747"/>
    <n v="517697"/>
    <n v="3517"/>
    <n v="29"/>
    <d v="2022-10-13T00:00:00"/>
    <n v="0.1115"/>
    <n v="6.7935491223630811"/>
    <n v="1991.2758620689656"/>
  </r>
  <r>
    <n v="100257"/>
    <x v="2"/>
    <x v="5"/>
    <x v="4"/>
    <x v="257"/>
    <n v="13732"/>
    <n v="95555"/>
    <n v="4106"/>
    <n v="12"/>
    <d v="2022-09-27T00:00:00"/>
    <n v="0.14369999999999999"/>
    <n v="42.970017267542254"/>
    <n v="1144.3333333333333"/>
  </r>
  <r>
    <n v="100258"/>
    <x v="2"/>
    <x v="2"/>
    <x v="3"/>
    <x v="258"/>
    <n v="40531"/>
    <n v="939775"/>
    <n v="408"/>
    <n v="27"/>
    <d v="2022-10-13T00:00:00"/>
    <n v="4.3099999999999999E-2"/>
    <n v="0.43414647122981564"/>
    <n v="1501.148148148148"/>
  </r>
  <r>
    <n v="100259"/>
    <x v="1"/>
    <x v="2"/>
    <x v="1"/>
    <x v="259"/>
    <n v="90828"/>
    <n v="381955"/>
    <n v="1474"/>
    <n v="6"/>
    <d v="2022-09-23T00:00:00"/>
    <n v="0.23780000000000001"/>
    <n v="3.8590933486929089"/>
    <n v="15138"/>
  </r>
  <r>
    <n v="100260"/>
    <x v="2"/>
    <x v="5"/>
    <x v="4"/>
    <x v="260"/>
    <n v="23335"/>
    <n v="116757"/>
    <n v="2532"/>
    <n v="10"/>
    <d v="2022-09-28T00:00:00"/>
    <n v="0.19989999999999999"/>
    <n v="21.686065931807086"/>
    <n v="2333.5"/>
  </r>
  <r>
    <n v="100261"/>
    <x v="0"/>
    <x v="4"/>
    <x v="2"/>
    <x v="261"/>
    <n v="47791"/>
    <n v="215462"/>
    <n v="3474"/>
    <n v="3"/>
    <d v="2022-09-22T00:00:00"/>
    <n v="0.2218"/>
    <n v="16.123492773667749"/>
    <n v="15930.333333333334"/>
  </r>
  <r>
    <n v="100262"/>
    <x v="2"/>
    <x v="0"/>
    <x v="3"/>
    <x v="262"/>
    <n v="6054"/>
    <n v="974255"/>
    <n v="2372"/>
    <n v="17"/>
    <d v="2022-10-07T00:00:00"/>
    <n v="6.1999999999999998E-3"/>
    <n v="2.4346808587074227"/>
    <n v="356.11764705882354"/>
  </r>
  <r>
    <n v="100263"/>
    <x v="2"/>
    <x v="4"/>
    <x v="2"/>
    <x v="263"/>
    <n v="39928"/>
    <n v="200883"/>
    <n v="1485"/>
    <n v="17"/>
    <d v="2022-10-08T00:00:00"/>
    <n v="0.1988"/>
    <n v="7.3923627185973926"/>
    <n v="2348.705882352941"/>
  </r>
  <r>
    <n v="100264"/>
    <x v="3"/>
    <x v="0"/>
    <x v="1"/>
    <x v="264"/>
    <n v="6605"/>
    <n v="116332"/>
    <n v="4646"/>
    <n v="2"/>
    <d v="2022-09-24T00:00:00"/>
    <n v="5.6800000000000003E-2"/>
    <n v="39.937420486194682"/>
    <n v="3302.5"/>
  </r>
  <r>
    <n v="100265"/>
    <x v="2"/>
    <x v="4"/>
    <x v="1"/>
    <x v="265"/>
    <n v="12032"/>
    <n v="9581"/>
    <n v="427"/>
    <n v="20"/>
    <d v="2022-10-13T00:00:00"/>
    <n v="1.2558"/>
    <n v="44.567372925581886"/>
    <n v="601.6"/>
  </r>
  <r>
    <n v="100266"/>
    <x v="2"/>
    <x v="3"/>
    <x v="1"/>
    <x v="266"/>
    <n v="18373"/>
    <n v="239106"/>
    <n v="2873"/>
    <n v="18"/>
    <d v="2022-10-12T00:00:00"/>
    <n v="7.6799999999999993E-2"/>
    <n v="12.015591411340576"/>
    <n v="1020.7222222222222"/>
  </r>
  <r>
    <n v="100267"/>
    <x v="2"/>
    <x v="5"/>
    <x v="2"/>
    <x v="267"/>
    <n v="84425"/>
    <n v="986392"/>
    <n v="4107"/>
    <n v="17"/>
    <d v="2022-10-12T00:00:00"/>
    <n v="8.5599999999999996E-2"/>
    <n v="4.1636590726607681"/>
    <n v="4966.1764705882351"/>
  </r>
  <r>
    <n v="100268"/>
    <x v="2"/>
    <x v="3"/>
    <x v="4"/>
    <x v="268"/>
    <n v="86451"/>
    <n v="701091"/>
    <n v="1310"/>
    <n v="28"/>
    <d v="2022-10-24T00:00:00"/>
    <n v="0.12330000000000001"/>
    <n v="1.8685163552235016"/>
    <n v="3087.5357142857142"/>
  </r>
  <r>
    <n v="100269"/>
    <x v="2"/>
    <x v="1"/>
    <x v="1"/>
    <x v="269"/>
    <n v="50461"/>
    <n v="471815"/>
    <n v="650"/>
    <n v="20"/>
    <d v="2022-10-17T00:00:00"/>
    <n v="0.107"/>
    <n v="1.3776586161949069"/>
    <n v="2523.0500000000002"/>
  </r>
  <r>
    <n v="100270"/>
    <x v="2"/>
    <x v="2"/>
    <x v="4"/>
    <x v="270"/>
    <n v="20275"/>
    <n v="422813"/>
    <n v="4622"/>
    <n v="19"/>
    <d v="2022-10-17T00:00:00"/>
    <n v="4.8000000000000001E-2"/>
    <n v="10.931546570233177"/>
    <n v="1067.1052631578948"/>
  </r>
  <r>
    <n v="100271"/>
    <x v="2"/>
    <x v="2"/>
    <x v="1"/>
    <x v="271"/>
    <n v="43738"/>
    <n v="806430"/>
    <n v="4982"/>
    <n v="29"/>
    <d v="2022-10-28T00:00:00"/>
    <n v="5.4199999999999998E-2"/>
    <n v="6.1778455662611753"/>
    <n v="1508.2068965517242"/>
  </r>
  <r>
    <n v="100272"/>
    <x v="2"/>
    <x v="2"/>
    <x v="4"/>
    <x v="272"/>
    <n v="27206"/>
    <n v="426648"/>
    <n v="2540"/>
    <n v="28"/>
    <d v="2022-10-28T00:00:00"/>
    <n v="6.3799999999999996E-2"/>
    <n v="5.9533854606139016"/>
    <n v="971.64285714285711"/>
  </r>
  <r>
    <n v="100273"/>
    <x v="1"/>
    <x v="5"/>
    <x v="1"/>
    <x v="273"/>
    <n v="19146"/>
    <n v="799449"/>
    <n v="1138"/>
    <n v="23"/>
    <d v="2022-10-24T00:00:00"/>
    <n v="2.3900000000000001E-2"/>
    <n v="1.4234804221407493"/>
    <n v="832.43478260869563"/>
  </r>
  <r>
    <n v="100274"/>
    <x v="1"/>
    <x v="0"/>
    <x v="1"/>
    <x v="274"/>
    <n v="87235"/>
    <n v="901370"/>
    <n v="2181"/>
    <n v="28"/>
    <d v="2022-10-30T00:00:00"/>
    <n v="9.6799999999999997E-2"/>
    <n v="2.4196500881990746"/>
    <n v="3115.5357142857142"/>
  </r>
  <r>
    <n v="100275"/>
    <x v="2"/>
    <x v="6"/>
    <x v="0"/>
    <x v="275"/>
    <n v="61675"/>
    <n v="598723"/>
    <n v="1405"/>
    <n v="17"/>
    <d v="2022-10-20T00:00:00"/>
    <n v="0.10299999999999999"/>
    <n v="2.3466611438010565"/>
    <n v="3627.9411764705883"/>
  </r>
  <r>
    <n v="100276"/>
    <x v="2"/>
    <x v="6"/>
    <x v="1"/>
    <x v="276"/>
    <n v="36425"/>
    <n v="695150"/>
    <n v="454"/>
    <n v="28"/>
    <d v="2022-11-01T00:00:00"/>
    <n v="5.2400000000000002E-2"/>
    <n v="0.6530964540027332"/>
    <n v="1300.8928571428571"/>
  </r>
  <r>
    <n v="100277"/>
    <x v="1"/>
    <x v="1"/>
    <x v="1"/>
    <x v="277"/>
    <n v="54787"/>
    <n v="595581"/>
    <n v="3687"/>
    <n v="25"/>
    <d v="2022-10-30T00:00:00"/>
    <n v="9.1999999999999998E-2"/>
    <n v="6.1905937227681873"/>
    <n v="2191.48"/>
  </r>
  <r>
    <n v="100278"/>
    <x v="0"/>
    <x v="3"/>
    <x v="1"/>
    <x v="278"/>
    <n v="98733"/>
    <n v="732621"/>
    <n v="3242"/>
    <n v="18"/>
    <d v="2022-10-24T00:00:00"/>
    <n v="0.1348"/>
    <n v="4.4252075766323928"/>
    <n v="5485.166666666667"/>
  </r>
  <r>
    <n v="100279"/>
    <x v="0"/>
    <x v="4"/>
    <x v="0"/>
    <x v="279"/>
    <n v="81201"/>
    <n v="603306"/>
    <n v="3876"/>
    <n v="19"/>
    <d v="2022-10-26T00:00:00"/>
    <n v="0.1346"/>
    <n v="6.424600451512168"/>
    <n v="4273.7368421052633"/>
  </r>
  <r>
    <n v="100280"/>
    <x v="2"/>
    <x v="0"/>
    <x v="3"/>
    <x v="280"/>
    <n v="71176"/>
    <n v="423793"/>
    <n v="3049"/>
    <n v="16"/>
    <d v="2022-10-24T00:00:00"/>
    <n v="0.16789999999999999"/>
    <n v="7.1945501695403173"/>
    <n v="4448.5"/>
  </r>
  <r>
    <n v="100281"/>
    <x v="2"/>
    <x v="5"/>
    <x v="4"/>
    <x v="281"/>
    <n v="66479"/>
    <n v="614320"/>
    <n v="2899"/>
    <n v="21"/>
    <d v="2022-10-30T00:00:00"/>
    <n v="0.1082"/>
    <n v="4.7190389373616357"/>
    <n v="3165.6666666666665"/>
  </r>
  <r>
    <n v="100282"/>
    <x v="2"/>
    <x v="5"/>
    <x v="4"/>
    <x v="282"/>
    <n v="27668"/>
    <n v="835501"/>
    <n v="3288"/>
    <n v="10"/>
    <d v="2022-10-20T00:00:00"/>
    <n v="3.3099999999999997E-2"/>
    <n v="3.935363332898465"/>
    <n v="2766.8"/>
  </r>
  <r>
    <n v="100283"/>
    <x v="2"/>
    <x v="2"/>
    <x v="1"/>
    <x v="283"/>
    <n v="91272"/>
    <n v="904797"/>
    <n v="2830"/>
    <n v="2"/>
    <d v="2022-10-13T00:00:00"/>
    <n v="0.1009"/>
    <n v="3.1277734121576444"/>
    <n v="45636"/>
  </r>
  <r>
    <n v="100284"/>
    <x v="1"/>
    <x v="6"/>
    <x v="4"/>
    <x v="284"/>
    <n v="69439"/>
    <n v="394871"/>
    <n v="3928"/>
    <n v="20"/>
    <d v="2022-11-01T00:00:00"/>
    <n v="0.1759"/>
    <n v="9.9475524918264444"/>
    <n v="3471.95"/>
  </r>
  <r>
    <n v="100285"/>
    <x v="1"/>
    <x v="5"/>
    <x v="0"/>
    <x v="285"/>
    <n v="32505"/>
    <n v="46549"/>
    <n v="2697"/>
    <n v="10"/>
    <d v="2022-10-23T00:00:00"/>
    <n v="0.69830000000000003"/>
    <n v="57.938946056843328"/>
    <n v="3250.5"/>
  </r>
  <r>
    <n v="100286"/>
    <x v="2"/>
    <x v="2"/>
    <x v="0"/>
    <x v="286"/>
    <n v="59552"/>
    <n v="171915"/>
    <n v="2503"/>
    <n v="19"/>
    <d v="2022-11-02T00:00:00"/>
    <n v="0.34639999999999999"/>
    <n v="14.559520693365908"/>
    <n v="3134.3157894736842"/>
  </r>
  <r>
    <n v="100287"/>
    <x v="2"/>
    <x v="3"/>
    <x v="3"/>
    <x v="287"/>
    <n v="5049"/>
    <n v="261895"/>
    <n v="1645"/>
    <n v="12"/>
    <d v="2022-10-27T00:00:00"/>
    <n v="1.9300000000000001E-2"/>
    <n v="6.2811432062467789"/>
    <n v="420.75"/>
  </r>
  <r>
    <n v="100288"/>
    <x v="1"/>
    <x v="3"/>
    <x v="2"/>
    <x v="288"/>
    <n v="15643"/>
    <n v="473703"/>
    <n v="2497"/>
    <n v="14"/>
    <d v="2022-10-30T00:00:00"/>
    <n v="3.3000000000000002E-2"/>
    <n v="5.2712353521088104"/>
    <n v="1117.3571428571429"/>
  </r>
  <r>
    <n v="100289"/>
    <x v="2"/>
    <x v="0"/>
    <x v="1"/>
    <x v="289"/>
    <n v="9506"/>
    <n v="627382"/>
    <n v="3930"/>
    <n v="3"/>
    <d v="2022-10-20T00:00:00"/>
    <n v="1.52E-2"/>
    <n v="6.2641261623699753"/>
    <n v="3168.6666666666665"/>
  </r>
  <r>
    <n v="100290"/>
    <x v="0"/>
    <x v="4"/>
    <x v="2"/>
    <x v="290"/>
    <n v="1343"/>
    <n v="802367"/>
    <n v="3285"/>
    <n v="13"/>
    <d v="2022-10-31T00:00:00"/>
    <n v="1.6999999999999999E-3"/>
    <n v="4.0941364737084154"/>
    <n v="103.30769230769231"/>
  </r>
  <r>
    <n v="100291"/>
    <x v="2"/>
    <x v="6"/>
    <x v="2"/>
    <x v="291"/>
    <n v="79486"/>
    <n v="361704"/>
    <n v="2359"/>
    <n v="24"/>
    <d v="2022-11-12T00:00:00"/>
    <n v="0.2198"/>
    <n v="6.5219074160086699"/>
    <n v="3311.9166666666665"/>
  </r>
  <r>
    <n v="100292"/>
    <x v="3"/>
    <x v="5"/>
    <x v="4"/>
    <x v="292"/>
    <n v="92306"/>
    <n v="332075"/>
    <n v="2499"/>
    <n v="24"/>
    <d v="2022-11-13T00:00:00"/>
    <n v="0.27800000000000002"/>
    <n v="7.5254084167733186"/>
    <n v="3846.0833333333335"/>
  </r>
  <r>
    <n v="100293"/>
    <x v="2"/>
    <x v="1"/>
    <x v="1"/>
    <x v="293"/>
    <n v="16549"/>
    <n v="339629"/>
    <n v="2989"/>
    <n v="26"/>
    <d v="2022-11-16T00:00:00"/>
    <n v="4.87E-2"/>
    <n v="8.800779674291654"/>
    <n v="636.5"/>
  </r>
  <r>
    <n v="100294"/>
    <x v="0"/>
    <x v="2"/>
    <x v="4"/>
    <x v="294"/>
    <n v="24361"/>
    <n v="56446"/>
    <n v="2738"/>
    <n v="4"/>
    <d v="2022-10-26T00:00:00"/>
    <n v="0.43159999999999998"/>
    <n v="48.506537221415158"/>
    <n v="6090.25"/>
  </r>
  <r>
    <n v="100295"/>
    <x v="3"/>
    <x v="6"/>
    <x v="3"/>
    <x v="295"/>
    <n v="46415"/>
    <n v="94481"/>
    <n v="2322"/>
    <n v="5"/>
    <d v="2022-10-28T00:00:00"/>
    <n v="0.49130000000000001"/>
    <n v="24.576369852139585"/>
    <n v="9283"/>
  </r>
  <r>
    <n v="100296"/>
    <x v="3"/>
    <x v="1"/>
    <x v="1"/>
    <x v="296"/>
    <n v="48460"/>
    <n v="151110"/>
    <n v="3821"/>
    <n v="2"/>
    <d v="2022-10-26T00:00:00"/>
    <n v="0.32069999999999999"/>
    <n v="25.286215339818675"/>
    <n v="24230"/>
  </r>
  <r>
    <n v="100297"/>
    <x v="0"/>
    <x v="2"/>
    <x v="1"/>
    <x v="297"/>
    <n v="88524"/>
    <n v="179676"/>
    <n v="2608"/>
    <n v="16"/>
    <d v="2022-11-10T00:00:00"/>
    <n v="0.49270000000000003"/>
    <n v="14.515015917540461"/>
    <n v="5532.75"/>
  </r>
  <r>
    <n v="100298"/>
    <x v="0"/>
    <x v="2"/>
    <x v="4"/>
    <x v="298"/>
    <n v="38409"/>
    <n v="795450"/>
    <n v="879"/>
    <n v="11"/>
    <d v="2022-11-06T00:00:00"/>
    <n v="4.8300000000000003E-2"/>
    <n v="1.1050348859136339"/>
    <n v="3491.7272727272725"/>
  </r>
  <r>
    <n v="100299"/>
    <x v="1"/>
    <x v="3"/>
    <x v="3"/>
    <x v="299"/>
    <n v="83705"/>
    <n v="176491"/>
    <n v="3356"/>
    <n v="4"/>
    <d v="2022-10-31T00:00:00"/>
    <n v="0.4743"/>
    <n v="19.015133916177032"/>
    <n v="20926.25"/>
  </r>
  <r>
    <n v="100300"/>
    <x v="0"/>
    <x v="6"/>
    <x v="2"/>
    <x v="300"/>
    <n v="50730"/>
    <n v="967433"/>
    <n v="595"/>
    <n v="9"/>
    <d v="2022-11-06T00:00:00"/>
    <n v="5.2400000000000002E-2"/>
    <n v="0.61502967130540309"/>
    <n v="5636.666666666667"/>
  </r>
  <r>
    <n v="100301"/>
    <x v="2"/>
    <x v="6"/>
    <x v="2"/>
    <x v="301"/>
    <n v="85762"/>
    <n v="520538"/>
    <n v="1089"/>
    <n v="24"/>
    <d v="2022-11-22T00:00:00"/>
    <n v="0.1648"/>
    <n v="2.0920662852663972"/>
    <n v="3573.4166666666665"/>
  </r>
  <r>
    <n v="100302"/>
    <x v="1"/>
    <x v="4"/>
    <x v="4"/>
    <x v="302"/>
    <n v="81930"/>
    <n v="429459"/>
    <n v="3373"/>
    <n v="17"/>
    <d v="2022-11-16T00:00:00"/>
    <n v="0.1908"/>
    <n v="7.8540675594177785"/>
    <n v="4819.411764705882"/>
  </r>
  <r>
    <n v="100303"/>
    <x v="1"/>
    <x v="3"/>
    <x v="3"/>
    <x v="303"/>
    <n v="41825"/>
    <n v="938483"/>
    <n v="2722"/>
    <n v="27"/>
    <d v="2022-11-27T00:00:00"/>
    <n v="4.4600000000000001E-2"/>
    <n v="2.9004254738764579"/>
    <n v="1549.0740740740741"/>
  </r>
  <r>
    <n v="100304"/>
    <x v="0"/>
    <x v="1"/>
    <x v="1"/>
    <x v="304"/>
    <n v="27913"/>
    <n v="243484"/>
    <n v="797"/>
    <n v="4"/>
    <d v="2022-11-05T00:00:00"/>
    <n v="0.11459999999999999"/>
    <n v="3.2733157004156332"/>
    <n v="6978.25"/>
  </r>
  <r>
    <n v="100305"/>
    <x v="1"/>
    <x v="0"/>
    <x v="1"/>
    <x v="305"/>
    <n v="48574"/>
    <n v="161921"/>
    <n v="4938"/>
    <n v="28"/>
    <d v="2022-11-30T00:00:00"/>
    <n v="0.3"/>
    <n v="30.496353159874261"/>
    <n v="1734.7857142857142"/>
  </r>
  <r>
    <n v="100306"/>
    <x v="2"/>
    <x v="6"/>
    <x v="3"/>
    <x v="306"/>
    <n v="69166"/>
    <n v="267934"/>
    <n v="521"/>
    <n v="26"/>
    <d v="2022-11-29T00:00:00"/>
    <n v="0.2581"/>
    <n v="1.9445087222972823"/>
    <n v="2660.2307692307691"/>
  </r>
  <r>
    <n v="100307"/>
    <x v="1"/>
    <x v="3"/>
    <x v="2"/>
    <x v="307"/>
    <n v="89893"/>
    <n v="318499"/>
    <n v="3513"/>
    <n v="5"/>
    <d v="2022-11-09T00:00:00"/>
    <n v="0.28220000000000001"/>
    <n v="11.029861946191355"/>
    <n v="17978.599999999999"/>
  </r>
  <r>
    <n v="100308"/>
    <x v="2"/>
    <x v="0"/>
    <x v="1"/>
    <x v="308"/>
    <n v="30164"/>
    <n v="866948"/>
    <n v="3859"/>
    <n v="28"/>
    <d v="2022-12-03T00:00:00"/>
    <n v="3.4799999999999998E-2"/>
    <n v="4.4512473643171218"/>
    <n v="1077.2857142857142"/>
  </r>
  <r>
    <n v="100309"/>
    <x v="2"/>
    <x v="6"/>
    <x v="0"/>
    <x v="309"/>
    <n v="60380"/>
    <n v="266968"/>
    <n v="2234"/>
    <n v="27"/>
    <d v="2022-12-03T00:00:00"/>
    <n v="0.22620000000000001"/>
    <n v="8.3680441101555232"/>
    <n v="2236.2962962962961"/>
  </r>
  <r>
    <n v="100310"/>
    <x v="1"/>
    <x v="3"/>
    <x v="2"/>
    <x v="310"/>
    <n v="71528"/>
    <n v="874120"/>
    <n v="3251"/>
    <n v="4"/>
    <d v="2022-11-11T00:00:00"/>
    <n v="8.1799999999999998E-2"/>
    <n v="3.7191689928156317"/>
    <n v="17882"/>
  </r>
  <r>
    <n v="100311"/>
    <x v="1"/>
    <x v="5"/>
    <x v="4"/>
    <x v="311"/>
    <n v="23932"/>
    <n v="350367"/>
    <n v="2875"/>
    <n v="19"/>
    <d v="2022-11-27T00:00:00"/>
    <n v="6.83E-2"/>
    <n v="8.2056814711431159"/>
    <n v="1259.578947368421"/>
  </r>
  <r>
    <n v="100312"/>
    <x v="2"/>
    <x v="6"/>
    <x v="4"/>
    <x v="312"/>
    <n v="37633"/>
    <n v="216833"/>
    <n v="3090"/>
    <n v="14"/>
    <d v="2022-11-23T00:00:00"/>
    <n v="0.1736"/>
    <n v="14.250598386776922"/>
    <n v="2688.0714285714284"/>
  </r>
  <r>
    <n v="100313"/>
    <x v="2"/>
    <x v="3"/>
    <x v="0"/>
    <x v="313"/>
    <n v="82130"/>
    <n v="455614"/>
    <n v="2689"/>
    <n v="20"/>
    <d v="2022-11-30T00:00:00"/>
    <n v="0.18029999999999999"/>
    <n v="5.9019257529399889"/>
    <n v="4106.5"/>
  </r>
  <r>
    <n v="100314"/>
    <x v="2"/>
    <x v="3"/>
    <x v="3"/>
    <x v="314"/>
    <n v="51555"/>
    <n v="285844"/>
    <n v="4983"/>
    <n v="21"/>
    <d v="2022-12-02T00:00:00"/>
    <n v="0.1804"/>
    <n v="17.432585606134815"/>
    <n v="2455"/>
  </r>
  <r>
    <n v="100315"/>
    <x v="2"/>
    <x v="5"/>
    <x v="0"/>
    <x v="315"/>
    <n v="9788"/>
    <n v="46599"/>
    <n v="4576"/>
    <n v="23"/>
    <d v="2022-12-05T00:00:00"/>
    <n v="0.21"/>
    <n v="98.199532178802116"/>
    <n v="425.56521739130437"/>
  </r>
  <r>
    <n v="100316"/>
    <x v="2"/>
    <x v="3"/>
    <x v="1"/>
    <x v="316"/>
    <n v="66098"/>
    <n v="19101"/>
    <n v="623"/>
    <n v="20"/>
    <d v="2022-12-03T00:00:00"/>
    <n v="3.4603999999999999"/>
    <n v="32.616093398251401"/>
    <n v="3304.9"/>
  </r>
  <r>
    <n v="100317"/>
    <x v="1"/>
    <x v="6"/>
    <x v="0"/>
    <x v="317"/>
    <n v="51281"/>
    <n v="66059"/>
    <n v="4224"/>
    <n v="9"/>
    <d v="2022-11-23T00:00:00"/>
    <n v="0.77629999999999999"/>
    <n v="63.942838977277887"/>
    <n v="5697.8888888888887"/>
  </r>
  <r>
    <n v="100318"/>
    <x v="2"/>
    <x v="0"/>
    <x v="3"/>
    <x v="318"/>
    <n v="57290"/>
    <n v="138149"/>
    <n v="1826"/>
    <n v="28"/>
    <d v="2022-12-13T00:00:00"/>
    <n v="0.41470000000000001"/>
    <n v="13.217612867266501"/>
    <n v="2046.0714285714287"/>
  </r>
  <r>
    <n v="100319"/>
    <x v="3"/>
    <x v="2"/>
    <x v="2"/>
    <x v="319"/>
    <n v="14204"/>
    <n v="722272"/>
    <n v="3197"/>
    <n v="23"/>
    <d v="2022-12-09T00:00:00"/>
    <n v="1.9699999999999999E-2"/>
    <n v="4.4263103096894243"/>
    <n v="617.56521739130437"/>
  </r>
  <r>
    <n v="100320"/>
    <x v="3"/>
    <x v="2"/>
    <x v="2"/>
    <x v="320"/>
    <n v="37594"/>
    <n v="72072"/>
    <n v="554"/>
    <n v="16"/>
    <d v="2022-12-03T00:00:00"/>
    <n v="0.52159999999999995"/>
    <n v="7.6867576867576872"/>
    <n v="2349.625"/>
  </r>
  <r>
    <n v="100321"/>
    <x v="1"/>
    <x v="0"/>
    <x v="4"/>
    <x v="321"/>
    <n v="4815"/>
    <n v="868845"/>
    <n v="866"/>
    <n v="26"/>
    <d v="2022-12-14T00:00:00"/>
    <n v="5.4999999999999997E-3"/>
    <n v="0.99672553792678797"/>
    <n v="185.19230769230768"/>
  </r>
  <r>
    <n v="100322"/>
    <x v="2"/>
    <x v="5"/>
    <x v="0"/>
    <x v="322"/>
    <n v="63911"/>
    <n v="686419"/>
    <n v="4423"/>
    <n v="17"/>
    <d v="2022-12-06T00:00:00"/>
    <n v="9.3100000000000002E-2"/>
    <n v="6.44358620609278"/>
    <n v="3759.4705882352941"/>
  </r>
  <r>
    <n v="100323"/>
    <x v="1"/>
    <x v="5"/>
    <x v="1"/>
    <x v="323"/>
    <n v="38228"/>
    <n v="102486"/>
    <n v="1277"/>
    <n v="10"/>
    <d v="2022-11-30T00:00:00"/>
    <n v="0.373"/>
    <n v="12.460238471596121"/>
    <n v="3822.8"/>
  </r>
  <r>
    <n v="100324"/>
    <x v="0"/>
    <x v="5"/>
    <x v="2"/>
    <x v="324"/>
    <n v="49736"/>
    <n v="756292"/>
    <n v="4189"/>
    <n v="6"/>
    <d v="2022-11-27T00:00:00"/>
    <n v="6.5799999999999997E-2"/>
    <n v="5.5388659406684191"/>
    <n v="8289.3333333333339"/>
  </r>
  <r>
    <n v="100325"/>
    <x v="1"/>
    <x v="6"/>
    <x v="2"/>
    <x v="325"/>
    <n v="59834"/>
    <n v="715195"/>
    <n v="821"/>
    <n v="14"/>
    <d v="2022-12-06T00:00:00"/>
    <n v="8.3699999999999997E-2"/>
    <n v="1.1479386740679116"/>
    <n v="4273.8571428571431"/>
  </r>
  <r>
    <n v="100326"/>
    <x v="0"/>
    <x v="0"/>
    <x v="2"/>
    <x v="326"/>
    <n v="13154"/>
    <n v="829853"/>
    <n v="297"/>
    <n v="6"/>
    <d v="2022-11-29T00:00:00"/>
    <n v="1.5900000000000001E-2"/>
    <n v="0.35789471147299584"/>
    <n v="2192.3333333333335"/>
  </r>
  <r>
    <n v="100327"/>
    <x v="1"/>
    <x v="3"/>
    <x v="2"/>
    <x v="327"/>
    <n v="25485"/>
    <n v="92292"/>
    <n v="4274"/>
    <n v="29"/>
    <d v="2022-12-23T00:00:00"/>
    <n v="0.27610000000000001"/>
    <n v="46.309539288345682"/>
    <n v="878.79310344827582"/>
  </r>
  <r>
    <n v="100328"/>
    <x v="1"/>
    <x v="0"/>
    <x v="1"/>
    <x v="328"/>
    <n v="50090"/>
    <n v="857413"/>
    <n v="1236"/>
    <n v="28"/>
    <d v="2022-12-23T00:00:00"/>
    <n v="5.8400000000000001E-2"/>
    <n v="1.4415456728554386"/>
    <n v="1788.9285714285713"/>
  </r>
  <r>
    <n v="100329"/>
    <x v="2"/>
    <x v="6"/>
    <x v="3"/>
    <x v="329"/>
    <n v="3867"/>
    <n v="295191"/>
    <n v="2637"/>
    <n v="13"/>
    <d v="2022-12-09T00:00:00"/>
    <n v="1.3100000000000001E-2"/>
    <n v="8.9331991829019177"/>
    <n v="297.46153846153845"/>
  </r>
  <r>
    <n v="100330"/>
    <x v="0"/>
    <x v="3"/>
    <x v="0"/>
    <x v="330"/>
    <n v="49972"/>
    <n v="796168"/>
    <n v="3997"/>
    <n v="27"/>
    <d v="2022-12-24T00:00:00"/>
    <n v="6.2799999999999995E-2"/>
    <n v="5.0202972237015304"/>
    <n v="1850.8148148148148"/>
  </r>
  <r>
    <n v="100331"/>
    <x v="2"/>
    <x v="3"/>
    <x v="1"/>
    <x v="331"/>
    <n v="65277"/>
    <n v="761325"/>
    <n v="2579"/>
    <n v="4"/>
    <d v="2022-12-02T00:00:00"/>
    <n v="8.5699999999999998E-2"/>
    <n v="3.3875151873378653"/>
    <n v="16319.25"/>
  </r>
  <r>
    <n v="100332"/>
    <x v="1"/>
    <x v="3"/>
    <x v="3"/>
    <x v="332"/>
    <n v="97607"/>
    <n v="213546"/>
    <n v="958"/>
    <n v="7"/>
    <d v="2022-12-06T00:00:00"/>
    <n v="0.45710000000000001"/>
    <n v="4.4861528663613459"/>
    <n v="13943.857142857143"/>
  </r>
  <r>
    <n v="100333"/>
    <x v="0"/>
    <x v="5"/>
    <x v="3"/>
    <x v="333"/>
    <n v="65701"/>
    <n v="352557"/>
    <n v="1164"/>
    <n v="10"/>
    <d v="2022-12-10T00:00:00"/>
    <n v="0.18640000000000001"/>
    <n v="3.3015937848347927"/>
    <n v="6570.1"/>
  </r>
  <r>
    <n v="100334"/>
    <x v="2"/>
    <x v="2"/>
    <x v="2"/>
    <x v="334"/>
    <n v="65302"/>
    <n v="654935"/>
    <n v="4853"/>
    <n v="9"/>
    <d v="2022-12-10T00:00:00"/>
    <n v="9.9699999999999997E-2"/>
    <n v="7.4098956384984769"/>
    <n v="7255.7777777777774"/>
  </r>
  <r>
    <n v="100335"/>
    <x v="1"/>
    <x v="2"/>
    <x v="0"/>
    <x v="335"/>
    <n v="65010"/>
    <n v="106673"/>
    <n v="1791"/>
    <n v="7"/>
    <d v="2022-12-09T00:00:00"/>
    <n v="0.60940000000000005"/>
    <n v="16.789628115830624"/>
    <n v="9287.1428571428569"/>
  </r>
  <r>
    <n v="100336"/>
    <x v="2"/>
    <x v="2"/>
    <x v="1"/>
    <x v="336"/>
    <n v="92986"/>
    <n v="798798"/>
    <n v="1044"/>
    <n v="15"/>
    <d v="2022-12-18T00:00:00"/>
    <n v="0.1164"/>
    <n v="1.3069637129787506"/>
    <n v="6199.0666666666666"/>
  </r>
  <r>
    <n v="100337"/>
    <x v="0"/>
    <x v="5"/>
    <x v="2"/>
    <x v="337"/>
    <n v="39700"/>
    <n v="628474"/>
    <n v="3156"/>
    <n v="29"/>
    <d v="2023-01-02T00:00:00"/>
    <n v="6.3200000000000006E-2"/>
    <n v="5.0216874524642225"/>
    <n v="1368.9655172413793"/>
  </r>
  <r>
    <n v="100338"/>
    <x v="2"/>
    <x v="6"/>
    <x v="0"/>
    <x v="338"/>
    <n v="84258"/>
    <n v="291493"/>
    <n v="4738"/>
    <n v="22"/>
    <d v="2022-12-27T00:00:00"/>
    <n v="0.28910000000000002"/>
    <n v="16.254249673234003"/>
    <n v="3829.909090909091"/>
  </r>
  <r>
    <n v="100339"/>
    <x v="3"/>
    <x v="0"/>
    <x v="3"/>
    <x v="339"/>
    <n v="15859"/>
    <n v="176775"/>
    <n v="1722"/>
    <n v="3"/>
    <d v="2022-12-09T00:00:00"/>
    <n v="8.9700000000000002E-2"/>
    <n v="9.7411964361476446"/>
    <n v="5286.333333333333"/>
  </r>
  <r>
    <n v="100340"/>
    <x v="2"/>
    <x v="5"/>
    <x v="2"/>
    <x v="340"/>
    <n v="82193"/>
    <n v="381042"/>
    <n v="1978"/>
    <n v="28"/>
    <d v="2023-01-04T00:00:00"/>
    <n v="0.2157"/>
    <n v="5.1910288104723366"/>
    <n v="2935.4642857142858"/>
  </r>
  <r>
    <n v="100341"/>
    <x v="3"/>
    <x v="1"/>
    <x v="2"/>
    <x v="341"/>
    <n v="144"/>
    <n v="800823"/>
    <n v="2865"/>
    <n v="2"/>
    <d v="2022-12-10T00:00:00"/>
    <n v="2.0000000000000001E-4"/>
    <n v="3.5775695752994108"/>
    <n v="72"/>
  </r>
  <r>
    <n v="100342"/>
    <x v="0"/>
    <x v="4"/>
    <x v="3"/>
    <x v="342"/>
    <n v="68255"/>
    <n v="228589"/>
    <n v="3351"/>
    <n v="28"/>
    <d v="2023-01-06T00:00:00"/>
    <n v="0.29859999999999998"/>
    <n v="14.659498051087322"/>
    <n v="2437.6785714285716"/>
  </r>
  <r>
    <n v="100343"/>
    <x v="1"/>
    <x v="3"/>
    <x v="3"/>
    <x v="343"/>
    <n v="50686"/>
    <n v="711521"/>
    <n v="1978"/>
    <n v="19"/>
    <d v="2022-12-29T00:00:00"/>
    <n v="7.1199999999999999E-2"/>
    <n v="2.7799601136157612"/>
    <n v="2667.6842105263158"/>
  </r>
  <r>
    <n v="100344"/>
    <x v="0"/>
    <x v="1"/>
    <x v="4"/>
    <x v="344"/>
    <n v="19418"/>
    <n v="249935"/>
    <n v="1471"/>
    <n v="13"/>
    <d v="2022-12-24T00:00:00"/>
    <n v="7.7700000000000005E-2"/>
    <n v="5.8855302378618441"/>
    <n v="1493.6923076923076"/>
  </r>
  <r>
    <n v="100345"/>
    <x v="0"/>
    <x v="3"/>
    <x v="1"/>
    <x v="345"/>
    <n v="38472"/>
    <n v="799039"/>
    <n v="176"/>
    <n v="22"/>
    <d v="2023-01-03T00:00:00"/>
    <n v="4.8099999999999997E-2"/>
    <n v="0.22026459284215164"/>
    <n v="1748.7272727272727"/>
  </r>
  <r>
    <n v="100346"/>
    <x v="3"/>
    <x v="1"/>
    <x v="2"/>
    <x v="346"/>
    <n v="92938"/>
    <n v="804843"/>
    <n v="2992"/>
    <n v="6"/>
    <d v="2022-12-19T00:00:00"/>
    <n v="0.11550000000000001"/>
    <n v="3.7174952133521693"/>
    <n v="15489.666666666666"/>
  </r>
  <r>
    <n v="100347"/>
    <x v="2"/>
    <x v="0"/>
    <x v="2"/>
    <x v="347"/>
    <n v="65510"/>
    <n v="809575"/>
    <n v="3375"/>
    <n v="24"/>
    <d v="2023-01-07T00:00:00"/>
    <n v="8.09E-2"/>
    <n v="4.168854028348207"/>
    <n v="2729.5833333333335"/>
  </r>
  <r>
    <n v="100348"/>
    <x v="1"/>
    <x v="6"/>
    <x v="3"/>
    <x v="348"/>
    <n v="61754"/>
    <n v="460630"/>
    <n v="4507"/>
    <n v="6"/>
    <d v="2022-12-21T00:00:00"/>
    <n v="0.1341"/>
    <n v="9.7844256778759533"/>
    <n v="10292.333333333334"/>
  </r>
  <r>
    <n v="100349"/>
    <x v="2"/>
    <x v="3"/>
    <x v="4"/>
    <x v="349"/>
    <n v="31408"/>
    <n v="816023"/>
    <n v="3613"/>
    <n v="24"/>
    <d v="2023-01-09T00:00:00"/>
    <n v="3.85E-2"/>
    <n v="4.4275712816918151"/>
    <n v="1308.6666666666667"/>
  </r>
  <r>
    <n v="100350"/>
    <x v="1"/>
    <x v="1"/>
    <x v="2"/>
    <x v="350"/>
    <n v="65241"/>
    <n v="258444"/>
    <n v="1825"/>
    <n v="28"/>
    <d v="2023-01-14T00:00:00"/>
    <n v="0.25240000000000001"/>
    <n v="7.0614910773707269"/>
    <n v="2330.0357142857142"/>
  </r>
  <r>
    <n v="100351"/>
    <x v="2"/>
    <x v="5"/>
    <x v="4"/>
    <x v="351"/>
    <n v="96225"/>
    <n v="828277"/>
    <n v="3447"/>
    <n v="28"/>
    <d v="2023-01-15T00:00:00"/>
    <n v="0.1162"/>
    <n v="4.1616512350336903"/>
    <n v="3436.6071428571427"/>
  </r>
  <r>
    <n v="100352"/>
    <x v="1"/>
    <x v="1"/>
    <x v="3"/>
    <x v="352"/>
    <n v="51904"/>
    <n v="869198"/>
    <n v="4426"/>
    <n v="3"/>
    <d v="2022-12-22T00:00:00"/>
    <n v="5.9700000000000003E-2"/>
    <n v="5.092050372872464"/>
    <n v="17301.333333333332"/>
  </r>
  <r>
    <n v="100353"/>
    <x v="1"/>
    <x v="0"/>
    <x v="3"/>
    <x v="353"/>
    <n v="83800"/>
    <n v="207124"/>
    <n v="3"/>
    <n v="15"/>
    <d v="2023-01-04T00:00:00"/>
    <n v="0.40460000000000002"/>
    <n v="1.4484077171163168E-2"/>
    <n v="5586.666666666667"/>
  </r>
  <r>
    <n v="100354"/>
    <x v="1"/>
    <x v="5"/>
    <x v="0"/>
    <x v="354"/>
    <n v="2907"/>
    <n v="127428"/>
    <n v="2906"/>
    <n v="23"/>
    <d v="2023-01-13T00:00:00"/>
    <n v="2.2800000000000001E-2"/>
    <n v="22.805035000156952"/>
    <n v="126.39130434782609"/>
  </r>
  <r>
    <n v="100355"/>
    <x v="1"/>
    <x v="6"/>
    <x v="0"/>
    <x v="355"/>
    <n v="35730"/>
    <n v="599529"/>
    <n v="1210"/>
    <n v="13"/>
    <d v="2023-01-04T00:00:00"/>
    <n v="5.96E-2"/>
    <n v="2.0182509936967188"/>
    <n v="2748.4615384615386"/>
  </r>
  <r>
    <n v="100356"/>
    <x v="0"/>
    <x v="6"/>
    <x v="3"/>
    <x v="356"/>
    <n v="79234"/>
    <n v="193759"/>
    <n v="2459"/>
    <n v="21"/>
    <d v="2023-01-13T00:00:00"/>
    <n v="0.40889999999999999"/>
    <n v="12.691023384720195"/>
    <n v="3773.0476190476193"/>
  </r>
  <r>
    <n v="100357"/>
    <x v="0"/>
    <x v="2"/>
    <x v="3"/>
    <x v="357"/>
    <n v="89642"/>
    <n v="519283"/>
    <n v="4721"/>
    <n v="2"/>
    <d v="2022-12-26T00:00:00"/>
    <n v="0.1726"/>
    <n v="9.0913817706337401"/>
    <n v="44821"/>
  </r>
  <r>
    <n v="100358"/>
    <x v="1"/>
    <x v="2"/>
    <x v="0"/>
    <x v="358"/>
    <n v="29708"/>
    <n v="300040"/>
    <n v="1995"/>
    <n v="9"/>
    <d v="2023-01-03T00:00:00"/>
    <n v="9.9000000000000005E-2"/>
    <n v="6.6491134515397947"/>
    <n v="3300.8888888888887"/>
  </r>
  <r>
    <n v="100359"/>
    <x v="1"/>
    <x v="1"/>
    <x v="4"/>
    <x v="359"/>
    <n v="31165"/>
    <n v="484316"/>
    <n v="736"/>
    <n v="20"/>
    <d v="2023-01-15T00:00:00"/>
    <n v="6.4299999999999996E-2"/>
    <n v="1.5196689764533899"/>
    <n v="1558.25"/>
  </r>
  <r>
    <n v="100360"/>
    <x v="3"/>
    <x v="1"/>
    <x v="3"/>
    <x v="360"/>
    <n v="24193"/>
    <n v="587882"/>
    <n v="1200"/>
    <n v="6"/>
    <d v="2023-01-02T00:00:00"/>
    <n v="4.1200000000000001E-2"/>
    <n v="2.0412259603117633"/>
    <n v="4032.1666666666665"/>
  </r>
  <r>
    <n v="100361"/>
    <x v="2"/>
    <x v="4"/>
    <x v="4"/>
    <x v="361"/>
    <n v="75015"/>
    <n v="679478"/>
    <n v="2953"/>
    <n v="29"/>
    <d v="2023-01-26T00:00:00"/>
    <n v="0.1104"/>
    <n v="4.3459832400754692"/>
    <n v="2586.7241379310344"/>
  </r>
  <r>
    <n v="100362"/>
    <x v="2"/>
    <x v="4"/>
    <x v="0"/>
    <x v="362"/>
    <n v="69745"/>
    <n v="888747"/>
    <n v="1178"/>
    <n v="6"/>
    <d v="2023-01-04T00:00:00"/>
    <n v="7.85E-2"/>
    <n v="1.3254615768041973"/>
    <n v="11624.166666666666"/>
  </r>
  <r>
    <n v="100363"/>
    <x v="2"/>
    <x v="3"/>
    <x v="1"/>
    <x v="363"/>
    <n v="25308"/>
    <n v="344189"/>
    <n v="518"/>
    <n v="13"/>
    <d v="2023-01-12T00:00:00"/>
    <n v="7.3499999999999996E-2"/>
    <n v="1.5049870855837926"/>
    <n v="1946.7692307692307"/>
  </r>
  <r>
    <n v="100364"/>
    <x v="1"/>
    <x v="3"/>
    <x v="0"/>
    <x v="364"/>
    <n v="18594"/>
    <n v="647363"/>
    <n v="1160"/>
    <n v="4"/>
    <d v="2023-01-04T00:00:00"/>
    <n v="2.87E-2"/>
    <n v="1.7918849239144035"/>
    <n v="4648.5"/>
  </r>
  <r>
    <n v="100365"/>
    <x v="1"/>
    <x v="1"/>
    <x v="3"/>
    <x v="365"/>
    <n v="49507"/>
    <n v="533133"/>
    <n v="1107"/>
    <n v="20"/>
    <d v="2023-01-21T00:00:00"/>
    <n v="9.2899999999999996E-2"/>
    <n v="2.0764049496091967"/>
    <n v="2475.35"/>
  </r>
  <r>
    <n v="100366"/>
    <x v="0"/>
    <x v="2"/>
    <x v="0"/>
    <x v="366"/>
    <n v="3278"/>
    <n v="90219"/>
    <n v="1314"/>
    <n v="25"/>
    <d v="2023-01-27T00:00:00"/>
    <n v="3.6299999999999999E-2"/>
    <n v="14.564559571708841"/>
    <n v="131.12"/>
  </r>
  <r>
    <n v="100367"/>
    <x v="1"/>
    <x v="5"/>
    <x v="2"/>
    <x v="367"/>
    <n v="73297"/>
    <n v="848445"/>
    <n v="2866"/>
    <n v="11"/>
    <d v="2023-01-14T00:00:00"/>
    <n v="8.6400000000000005E-2"/>
    <n v="3.3779443570296248"/>
    <n v="6663.363636363636"/>
  </r>
  <r>
    <n v="100368"/>
    <x v="2"/>
    <x v="4"/>
    <x v="1"/>
    <x v="368"/>
    <n v="57409"/>
    <n v="230269"/>
    <n v="1709"/>
    <n v="20"/>
    <d v="2023-01-24T00:00:00"/>
    <n v="0.24929999999999999"/>
    <n v="7.4217545566272483"/>
    <n v="2870.45"/>
  </r>
  <r>
    <n v="100369"/>
    <x v="0"/>
    <x v="3"/>
    <x v="1"/>
    <x v="369"/>
    <n v="30728"/>
    <n v="122417"/>
    <n v="2863"/>
    <n v="19"/>
    <d v="2023-01-24T00:00:00"/>
    <n v="0.251"/>
    <n v="23.387274643227656"/>
    <n v="1617.2631578947369"/>
  </r>
  <r>
    <n v="100370"/>
    <x v="0"/>
    <x v="3"/>
    <x v="2"/>
    <x v="370"/>
    <n v="52350"/>
    <n v="692323"/>
    <n v="1857"/>
    <n v="8"/>
    <d v="2023-01-14T00:00:00"/>
    <n v="7.5600000000000001E-2"/>
    <n v="2.6822740252743302"/>
    <n v="6543.75"/>
  </r>
  <r>
    <n v="100371"/>
    <x v="2"/>
    <x v="6"/>
    <x v="2"/>
    <x v="371"/>
    <n v="21647"/>
    <n v="245138"/>
    <n v="2665"/>
    <n v="10"/>
    <d v="2023-01-17T00:00:00"/>
    <n v="8.8300000000000003E-2"/>
    <n v="10.871427522456738"/>
    <n v="2164.6999999999998"/>
  </r>
  <r>
    <n v="100372"/>
    <x v="2"/>
    <x v="1"/>
    <x v="1"/>
    <x v="372"/>
    <n v="33046"/>
    <n v="851382"/>
    <n v="232"/>
    <n v="9"/>
    <d v="2023-01-17T00:00:00"/>
    <n v="3.8800000000000001E-2"/>
    <n v="0.27249812657537975"/>
    <n v="3671.7777777777778"/>
  </r>
  <r>
    <n v="100373"/>
    <x v="2"/>
    <x v="2"/>
    <x v="2"/>
    <x v="373"/>
    <n v="19103"/>
    <n v="85023"/>
    <n v="3723"/>
    <n v="13"/>
    <d v="2023-01-22T00:00:00"/>
    <n v="0.22470000000000001"/>
    <n v="43.788151441374687"/>
    <n v="1469.4615384615386"/>
  </r>
  <r>
    <n v="100374"/>
    <x v="2"/>
    <x v="4"/>
    <x v="4"/>
    <x v="374"/>
    <n v="85951"/>
    <n v="366065"/>
    <n v="586"/>
    <n v="2"/>
    <d v="2023-01-12T00:00:00"/>
    <n v="0.23480000000000001"/>
    <n v="1.6008085995656509"/>
    <n v="42975.5"/>
  </r>
  <r>
    <n v="100375"/>
    <x v="2"/>
    <x v="5"/>
    <x v="3"/>
    <x v="375"/>
    <n v="8868"/>
    <n v="924945"/>
    <n v="1667"/>
    <n v="11"/>
    <d v="2023-01-22T00:00:00"/>
    <n v="9.5999999999999992E-3"/>
    <n v="1.8022693241219749"/>
    <n v="806.18181818181813"/>
  </r>
  <r>
    <n v="100376"/>
    <x v="3"/>
    <x v="4"/>
    <x v="1"/>
    <x v="376"/>
    <n v="9709"/>
    <n v="842812"/>
    <n v="448"/>
    <n v="27"/>
    <d v="2023-02-08T00:00:00"/>
    <n v="1.15E-2"/>
    <n v="0.53155389339496828"/>
    <n v="359.59259259259261"/>
  </r>
  <r>
    <n v="100377"/>
    <x v="1"/>
    <x v="1"/>
    <x v="3"/>
    <x v="377"/>
    <n v="18732"/>
    <n v="197987"/>
    <n v="1369"/>
    <n v="8"/>
    <d v="2023-01-21T00:00:00"/>
    <n v="9.4600000000000004E-2"/>
    <n v="6.9145954027284615"/>
    <n v="2341.5"/>
  </r>
  <r>
    <n v="100378"/>
    <x v="2"/>
    <x v="2"/>
    <x v="4"/>
    <x v="378"/>
    <n v="40212"/>
    <n v="216874"/>
    <n v="3186"/>
    <n v="24"/>
    <d v="2023-02-07T00:00:00"/>
    <n v="0.18540000000000001"/>
    <n v="14.690557650986287"/>
    <n v="1675.5"/>
  </r>
  <r>
    <n v="100379"/>
    <x v="0"/>
    <x v="2"/>
    <x v="1"/>
    <x v="379"/>
    <n v="38243"/>
    <n v="43367"/>
    <n v="548"/>
    <n v="1"/>
    <d v="2023-01-16T00:00:00"/>
    <n v="0.88180000000000003"/>
    <n v="12.636336384808727"/>
    <n v="38243"/>
  </r>
  <r>
    <n v="100380"/>
    <x v="1"/>
    <x v="0"/>
    <x v="1"/>
    <x v="380"/>
    <n v="97794"/>
    <n v="621144"/>
    <n v="758"/>
    <n v="11"/>
    <d v="2023-01-27T00:00:00"/>
    <n v="0.15740000000000001"/>
    <n v="1.2203289414370904"/>
    <n v="8890.363636363636"/>
  </r>
  <r>
    <n v="100381"/>
    <x v="3"/>
    <x v="0"/>
    <x v="1"/>
    <x v="381"/>
    <n v="20116"/>
    <n v="578406"/>
    <n v="34"/>
    <n v="27"/>
    <d v="2023-02-13T00:00:00"/>
    <n v="3.4799999999999998E-2"/>
    <n v="5.8782239465012466E-2"/>
    <n v="745.03703703703707"/>
  </r>
  <r>
    <n v="100382"/>
    <x v="0"/>
    <x v="5"/>
    <x v="2"/>
    <x v="382"/>
    <n v="85132"/>
    <n v="481917"/>
    <n v="2843"/>
    <n v="1"/>
    <d v="2023-01-19T00:00:00"/>
    <n v="0.1767"/>
    <n v="5.8993561131896151"/>
    <n v="85132"/>
  </r>
  <r>
    <n v="100383"/>
    <x v="1"/>
    <x v="6"/>
    <x v="3"/>
    <x v="383"/>
    <n v="50894"/>
    <n v="795433"/>
    <n v="4170"/>
    <n v="6"/>
    <d v="2023-01-25T00:00:00"/>
    <n v="6.4000000000000001E-2"/>
    <n v="5.2424277091848088"/>
    <n v="8482.3333333333339"/>
  </r>
  <r>
    <n v="100384"/>
    <x v="2"/>
    <x v="3"/>
    <x v="1"/>
    <x v="384"/>
    <n v="18122"/>
    <n v="224218"/>
    <n v="1212"/>
    <n v="6"/>
    <d v="2023-01-26T00:00:00"/>
    <n v="8.0799999999999997E-2"/>
    <n v="5.4054536210295332"/>
    <n v="3020.3333333333335"/>
  </r>
  <r>
    <n v="100385"/>
    <x v="3"/>
    <x v="6"/>
    <x v="4"/>
    <x v="385"/>
    <n v="21076"/>
    <n v="592534"/>
    <n v="1370"/>
    <n v="16"/>
    <d v="2023-02-06T00:00:00"/>
    <n v="3.56E-2"/>
    <n v="2.3121036092443639"/>
    <n v="1317.25"/>
  </r>
  <r>
    <n v="100386"/>
    <x v="0"/>
    <x v="5"/>
    <x v="2"/>
    <x v="386"/>
    <n v="21973"/>
    <n v="192116"/>
    <n v="1289"/>
    <n v="28"/>
    <d v="2023-02-19T00:00:00"/>
    <n v="0.1144"/>
    <n v="6.7094880176559997"/>
    <n v="784.75"/>
  </r>
  <r>
    <n v="100387"/>
    <x v="3"/>
    <x v="5"/>
    <x v="2"/>
    <x v="387"/>
    <n v="58866"/>
    <n v="125509"/>
    <n v="4245"/>
    <n v="29"/>
    <d v="2023-02-21T00:00:00"/>
    <n v="0.46899999999999997"/>
    <n v="33.822275693376568"/>
    <n v="2029.8620689655172"/>
  </r>
  <r>
    <n v="100388"/>
    <x v="2"/>
    <x v="2"/>
    <x v="3"/>
    <x v="388"/>
    <n v="85535"/>
    <n v="352607"/>
    <n v="253"/>
    <n v="8"/>
    <d v="2023-02-01T00:00:00"/>
    <n v="0.24260000000000001"/>
    <n v="0.71751269827314834"/>
    <n v="10691.875"/>
  </r>
  <r>
    <n v="100389"/>
    <x v="0"/>
    <x v="3"/>
    <x v="1"/>
    <x v="389"/>
    <n v="87606"/>
    <n v="876527"/>
    <n v="4876"/>
    <n v="2"/>
    <d v="2023-01-27T00:00:00"/>
    <n v="9.9900000000000003E-2"/>
    <n v="5.5628634371787742"/>
    <n v="43803"/>
  </r>
  <r>
    <n v="100390"/>
    <x v="1"/>
    <x v="0"/>
    <x v="1"/>
    <x v="390"/>
    <n v="91046"/>
    <n v="556736"/>
    <n v="2338"/>
    <n v="11"/>
    <d v="2023-02-06T00:00:00"/>
    <n v="0.16350000000000001"/>
    <n v="4.1994769513737209"/>
    <n v="8276.9090909090901"/>
  </r>
  <r>
    <n v="100391"/>
    <x v="2"/>
    <x v="4"/>
    <x v="2"/>
    <x v="391"/>
    <n v="85701"/>
    <n v="158282"/>
    <n v="4300"/>
    <n v="13"/>
    <d v="2023-02-09T00:00:00"/>
    <n v="0.54139999999999999"/>
    <n v="27.166702467747438"/>
    <n v="6592.3846153846152"/>
  </r>
  <r>
    <n v="100392"/>
    <x v="1"/>
    <x v="2"/>
    <x v="1"/>
    <x v="392"/>
    <n v="95885"/>
    <n v="612847"/>
    <n v="1032"/>
    <n v="3"/>
    <d v="2023-01-31T00:00:00"/>
    <n v="0.1565"/>
    <n v="1.6839439533847764"/>
    <n v="31961.666666666668"/>
  </r>
  <r>
    <n v="100393"/>
    <x v="1"/>
    <x v="6"/>
    <x v="3"/>
    <x v="393"/>
    <n v="52237"/>
    <n v="193209"/>
    <n v="2103"/>
    <n v="21"/>
    <d v="2023-02-19T00:00:00"/>
    <n v="0.27039999999999997"/>
    <n v="10.884586121764514"/>
    <n v="2487.4761904761904"/>
  </r>
  <r>
    <n v="100394"/>
    <x v="2"/>
    <x v="0"/>
    <x v="2"/>
    <x v="394"/>
    <n v="32707"/>
    <n v="243911"/>
    <n v="1126"/>
    <n v="24"/>
    <d v="2023-02-23T00:00:00"/>
    <n v="0.1341"/>
    <n v="4.6164379630274972"/>
    <n v="1362.7916666666667"/>
  </r>
  <r>
    <n v="100395"/>
    <x v="1"/>
    <x v="2"/>
    <x v="4"/>
    <x v="395"/>
    <n v="41714"/>
    <n v="858676"/>
    <n v="2412"/>
    <n v="8"/>
    <d v="2023-02-08T00:00:00"/>
    <n v="4.8599999999999997E-2"/>
    <n v="2.8089756788357891"/>
    <n v="5214.25"/>
  </r>
  <r>
    <n v="100396"/>
    <x v="0"/>
    <x v="1"/>
    <x v="2"/>
    <x v="396"/>
    <n v="84654"/>
    <n v="356943"/>
    <n v="898"/>
    <n v="1"/>
    <d v="2023-02-02T00:00:00"/>
    <n v="0.23719999999999999"/>
    <n v="2.5158078460706612"/>
    <n v="84654"/>
  </r>
  <r>
    <n v="100397"/>
    <x v="2"/>
    <x v="1"/>
    <x v="1"/>
    <x v="397"/>
    <n v="85089"/>
    <n v="736697"/>
    <n v="1399"/>
    <n v="23"/>
    <d v="2023-02-25T00:00:00"/>
    <n v="0.11550000000000001"/>
    <n v="1.8990168278138773"/>
    <n v="3699.521739130435"/>
  </r>
  <r>
    <n v="100398"/>
    <x v="1"/>
    <x v="1"/>
    <x v="1"/>
    <x v="398"/>
    <n v="59108"/>
    <n v="638454"/>
    <n v="930"/>
    <n v="16"/>
    <d v="2023-02-19T00:00:00"/>
    <n v="9.2600000000000002E-2"/>
    <n v="1.4566437049497691"/>
    <n v="3694.25"/>
  </r>
  <r>
    <n v="100399"/>
    <x v="1"/>
    <x v="0"/>
    <x v="1"/>
    <x v="399"/>
    <n v="58518"/>
    <n v="989974"/>
    <n v="4775"/>
    <n v="21"/>
    <d v="2023-02-25T00:00:00"/>
    <n v="5.91E-2"/>
    <n v="4.8233589973069995"/>
    <n v="2786.5714285714284"/>
  </r>
  <r>
    <n v="100400"/>
    <x v="2"/>
    <x v="3"/>
    <x v="0"/>
    <x v="400"/>
    <n v="1370"/>
    <n v="503940"/>
    <n v="1838"/>
    <n v="17"/>
    <d v="2023-02-22T00:00:00"/>
    <n v="2.7000000000000001E-3"/>
    <n v="3.6472595943961581"/>
    <n v="80.588235294117652"/>
  </r>
  <r>
    <n v="100401"/>
    <x v="3"/>
    <x v="5"/>
    <x v="1"/>
    <x v="401"/>
    <n v="14869"/>
    <n v="887412"/>
    <n v="3805"/>
    <n v="24"/>
    <d v="2023-03-02T00:00:00"/>
    <n v="1.6799999999999999E-2"/>
    <n v="4.2877490951215451"/>
    <n v="619.54166666666663"/>
  </r>
  <r>
    <n v="100402"/>
    <x v="0"/>
    <x v="6"/>
    <x v="1"/>
    <x v="402"/>
    <n v="86484"/>
    <n v="873217"/>
    <n v="2323"/>
    <n v="24"/>
    <d v="2023-03-03T00:00:00"/>
    <n v="9.9000000000000005E-2"/>
    <n v="2.6602780294016264"/>
    <n v="3603.5"/>
  </r>
  <r>
    <n v="100403"/>
    <x v="2"/>
    <x v="6"/>
    <x v="3"/>
    <x v="403"/>
    <n v="24272"/>
    <n v="640721"/>
    <n v="592"/>
    <n v="22"/>
    <d v="2023-03-02T00:00:00"/>
    <n v="3.7900000000000003E-2"/>
    <n v="0.92395910232378831"/>
    <n v="1103.2727272727273"/>
  </r>
  <r>
    <n v="100404"/>
    <x v="3"/>
    <x v="5"/>
    <x v="0"/>
    <x v="404"/>
    <n v="578"/>
    <n v="869542"/>
    <n v="2363"/>
    <n v="3"/>
    <d v="2023-02-12T00:00:00"/>
    <n v="6.9999999999999999E-4"/>
    <n v="2.7175225578522948"/>
    <n v="192.66666666666666"/>
  </r>
  <r>
    <n v="100405"/>
    <x v="0"/>
    <x v="4"/>
    <x v="1"/>
    <x v="405"/>
    <n v="34713"/>
    <n v="373108"/>
    <n v="894"/>
    <n v="22"/>
    <d v="2023-03-04T00:00:00"/>
    <n v="9.2999999999999999E-2"/>
    <n v="2.3960890680446414"/>
    <n v="1577.8636363636363"/>
  </r>
  <r>
    <n v="100406"/>
    <x v="2"/>
    <x v="2"/>
    <x v="3"/>
    <x v="406"/>
    <n v="23408"/>
    <n v="411081"/>
    <n v="238"/>
    <n v="1"/>
    <d v="2023-02-12T00:00:00"/>
    <n v="5.6899999999999999E-2"/>
    <n v="0.57896132392399546"/>
    <n v="23408"/>
  </r>
  <r>
    <n v="100407"/>
    <x v="0"/>
    <x v="1"/>
    <x v="2"/>
    <x v="407"/>
    <n v="52416"/>
    <n v="740021"/>
    <n v="3615"/>
    <n v="12"/>
    <d v="2023-02-24T00:00:00"/>
    <n v="7.0800000000000002E-2"/>
    <n v="4.8849965068558863"/>
    <n v="4368"/>
  </r>
  <r>
    <n v="100408"/>
    <x v="2"/>
    <x v="0"/>
    <x v="0"/>
    <x v="408"/>
    <n v="47085"/>
    <n v="994752"/>
    <n v="2269"/>
    <n v="19"/>
    <d v="2023-03-04T00:00:00"/>
    <n v="4.7300000000000002E-2"/>
    <n v="2.2809705333590684"/>
    <n v="2478.1578947368421"/>
  </r>
  <r>
    <n v="100409"/>
    <x v="3"/>
    <x v="0"/>
    <x v="0"/>
    <x v="409"/>
    <n v="93657"/>
    <n v="768553"/>
    <n v="3786"/>
    <n v="4"/>
    <d v="2023-02-18T00:00:00"/>
    <n v="0.12189999999999999"/>
    <n v="4.9261404223261112"/>
    <n v="23414.25"/>
  </r>
  <r>
    <n v="100410"/>
    <x v="1"/>
    <x v="0"/>
    <x v="2"/>
    <x v="410"/>
    <n v="35248"/>
    <n v="711710"/>
    <n v="2879"/>
    <n v="18"/>
    <d v="2023-03-05T00:00:00"/>
    <n v="4.9500000000000002E-2"/>
    <n v="4.0451869441204993"/>
    <n v="1958.2222222222222"/>
  </r>
  <r>
    <n v="100411"/>
    <x v="1"/>
    <x v="1"/>
    <x v="2"/>
    <x v="411"/>
    <n v="74762"/>
    <n v="214141"/>
    <n v="3371"/>
    <n v="16"/>
    <d v="2023-03-04T00:00:00"/>
    <n v="0.34910000000000002"/>
    <n v="15.741964406629275"/>
    <n v="4672.625"/>
  </r>
  <r>
    <n v="100412"/>
    <x v="2"/>
    <x v="6"/>
    <x v="0"/>
    <x v="412"/>
    <n v="95814"/>
    <n v="970005"/>
    <n v="4840"/>
    <n v="3"/>
    <d v="2023-02-20T00:00:00"/>
    <n v="9.8799999999999999E-2"/>
    <n v="4.9896650017267952"/>
    <n v="31938"/>
  </r>
  <r>
    <n v="100413"/>
    <x v="0"/>
    <x v="1"/>
    <x v="2"/>
    <x v="413"/>
    <n v="21131"/>
    <n v="18177"/>
    <n v="1786"/>
    <n v="27"/>
    <d v="2023-03-17T00:00:00"/>
    <n v="1.1625000000000001"/>
    <n v="98.256037850030253"/>
    <n v="782.62962962962968"/>
  </r>
  <r>
    <n v="100414"/>
    <x v="2"/>
    <x v="6"/>
    <x v="1"/>
    <x v="414"/>
    <n v="38424"/>
    <n v="856270"/>
    <n v="3517"/>
    <n v="15"/>
    <d v="2023-03-06T00:00:00"/>
    <n v="4.4900000000000002E-2"/>
    <n v="4.1073493173882065"/>
    <n v="2561.6"/>
  </r>
  <r>
    <n v="100415"/>
    <x v="2"/>
    <x v="6"/>
    <x v="3"/>
    <x v="415"/>
    <n v="3682"/>
    <n v="345580"/>
    <n v="3021"/>
    <n v="24"/>
    <d v="2023-03-16T00:00:00"/>
    <n v="1.0699999999999999E-2"/>
    <n v="8.7418253371144168"/>
    <n v="153.41666666666666"/>
  </r>
  <r>
    <n v="100416"/>
    <x v="2"/>
    <x v="6"/>
    <x v="3"/>
    <x v="416"/>
    <n v="72110"/>
    <n v="291267"/>
    <n v="2493"/>
    <n v="13"/>
    <d v="2023-03-06T00:00:00"/>
    <n v="0.24759999999999999"/>
    <n v="8.5591570620770643"/>
    <n v="5546.9230769230771"/>
  </r>
  <r>
    <n v="100417"/>
    <x v="0"/>
    <x v="0"/>
    <x v="4"/>
    <x v="417"/>
    <n v="49656"/>
    <n v="907806"/>
    <n v="1260"/>
    <n v="20"/>
    <d v="2023-03-14T00:00:00"/>
    <n v="5.4699999999999999E-2"/>
    <n v="1.3879617451305675"/>
    <n v="2482.8000000000002"/>
  </r>
  <r>
    <n v="100418"/>
    <x v="2"/>
    <x v="3"/>
    <x v="4"/>
    <x v="418"/>
    <n v="44739"/>
    <n v="508402"/>
    <n v="3610"/>
    <n v="20"/>
    <d v="2023-03-15T00:00:00"/>
    <n v="8.7999999999999995E-2"/>
    <n v="7.1006801704163243"/>
    <n v="2236.9499999999998"/>
  </r>
  <r>
    <n v="100419"/>
    <x v="3"/>
    <x v="0"/>
    <x v="2"/>
    <x v="419"/>
    <n v="65869"/>
    <n v="598623"/>
    <n v="1425"/>
    <n v="20"/>
    <d v="2023-03-16T00:00:00"/>
    <n v="0.11"/>
    <n v="2.3804631629589905"/>
    <n v="3293.45"/>
  </r>
  <r>
    <n v="100420"/>
    <x v="1"/>
    <x v="2"/>
    <x v="3"/>
    <x v="420"/>
    <n v="11434"/>
    <n v="30025"/>
    <n v="4214"/>
    <n v="6"/>
    <d v="2023-03-03T00:00:00"/>
    <n v="0.38080000000000003"/>
    <n v="140.34970857618652"/>
    <n v="1905.6666666666667"/>
  </r>
  <r>
    <n v="100421"/>
    <x v="2"/>
    <x v="0"/>
    <x v="0"/>
    <x v="421"/>
    <n v="71685"/>
    <n v="217397"/>
    <n v="3960"/>
    <n v="29"/>
    <d v="2023-03-27T00:00:00"/>
    <n v="0.32969999999999999"/>
    <n v="18.215522753303865"/>
    <n v="2471.8965517241381"/>
  </r>
  <r>
    <n v="100422"/>
    <x v="2"/>
    <x v="5"/>
    <x v="2"/>
    <x v="422"/>
    <n v="93852"/>
    <n v="364099"/>
    <n v="234"/>
    <n v="23"/>
    <d v="2023-03-22T00:00:00"/>
    <n v="0.25779999999999997"/>
    <n v="0.64268234738354135"/>
    <n v="4080.521739130435"/>
  </r>
  <r>
    <n v="100423"/>
    <x v="2"/>
    <x v="5"/>
    <x v="1"/>
    <x v="423"/>
    <n v="51421"/>
    <n v="186485"/>
    <n v="1357"/>
    <n v="25"/>
    <d v="2023-03-25T00:00:00"/>
    <n v="0.2757"/>
    <n v="7.2767246695444676"/>
    <n v="2056.84"/>
  </r>
  <r>
    <n v="100424"/>
    <x v="1"/>
    <x v="4"/>
    <x v="3"/>
    <x v="424"/>
    <n v="51163"/>
    <n v="871394"/>
    <n v="560"/>
    <n v="11"/>
    <d v="2023-03-12T00:00:00"/>
    <n v="5.8700000000000002E-2"/>
    <n v="0.64264844605310567"/>
    <n v="4651.181818181818"/>
  </r>
  <r>
    <n v="100425"/>
    <x v="0"/>
    <x v="0"/>
    <x v="4"/>
    <x v="425"/>
    <n v="48343"/>
    <n v="408220"/>
    <n v="1135"/>
    <n v="2"/>
    <d v="2023-03-04T00:00:00"/>
    <n v="0.11840000000000001"/>
    <n v="2.7803635294694038"/>
    <n v="24171.5"/>
  </r>
  <r>
    <n v="100426"/>
    <x v="2"/>
    <x v="0"/>
    <x v="1"/>
    <x v="426"/>
    <n v="48076"/>
    <n v="304835"/>
    <n v="3052"/>
    <n v="8"/>
    <d v="2023-03-11T00:00:00"/>
    <n v="0.15770000000000001"/>
    <n v="10.011973690685124"/>
    <n v="6009.5"/>
  </r>
  <r>
    <n v="100427"/>
    <x v="0"/>
    <x v="0"/>
    <x v="1"/>
    <x v="427"/>
    <n v="32325"/>
    <n v="131677"/>
    <n v="4195"/>
    <n v="16"/>
    <d v="2023-03-20T00:00:00"/>
    <n v="0.2455"/>
    <n v="31.85825922522536"/>
    <n v="2020.3125"/>
  </r>
  <r>
    <n v="100428"/>
    <x v="2"/>
    <x v="3"/>
    <x v="3"/>
    <x v="428"/>
    <n v="90449"/>
    <n v="128294"/>
    <n v="1874"/>
    <n v="24"/>
    <d v="2023-03-29T00:00:00"/>
    <n v="0.70499999999999996"/>
    <n v="14.607074376042528"/>
    <n v="3768.7083333333335"/>
  </r>
  <r>
    <n v="100429"/>
    <x v="0"/>
    <x v="1"/>
    <x v="3"/>
    <x v="429"/>
    <n v="68513"/>
    <n v="436568"/>
    <n v="27"/>
    <n v="17"/>
    <d v="2023-03-23T00:00:00"/>
    <n v="0.15690000000000001"/>
    <n v="6.1846035440068906E-2"/>
    <n v="4030.1764705882351"/>
  </r>
  <r>
    <n v="100430"/>
    <x v="3"/>
    <x v="0"/>
    <x v="0"/>
    <x v="430"/>
    <n v="13253"/>
    <n v="309741"/>
    <n v="2063"/>
    <n v="6"/>
    <d v="2023-03-13T00:00:00"/>
    <n v="4.2799999999999998E-2"/>
    <n v="6.6604033692665805"/>
    <n v="2208.8333333333335"/>
  </r>
  <r>
    <n v="100431"/>
    <x v="0"/>
    <x v="1"/>
    <x v="1"/>
    <x v="431"/>
    <n v="48110"/>
    <n v="97100"/>
    <n v="4178"/>
    <n v="25"/>
    <d v="2023-04-02T00:00:00"/>
    <n v="0.4955"/>
    <n v="43.027806385169924"/>
    <n v="1924.4"/>
  </r>
  <r>
    <n v="100432"/>
    <x v="1"/>
    <x v="5"/>
    <x v="4"/>
    <x v="432"/>
    <n v="91748"/>
    <n v="670082"/>
    <n v="320"/>
    <n v="8"/>
    <d v="2023-03-17T00:00:00"/>
    <n v="0.13689999999999999"/>
    <n v="0.47755349345304005"/>
    <n v="11468.5"/>
  </r>
  <r>
    <n v="100433"/>
    <x v="0"/>
    <x v="5"/>
    <x v="0"/>
    <x v="433"/>
    <n v="34947"/>
    <n v="827294"/>
    <n v="4867"/>
    <n v="24"/>
    <d v="2023-04-03T00:00:00"/>
    <n v="4.2200000000000001E-2"/>
    <n v="5.8830355351301957"/>
    <n v="1456.125"/>
  </r>
  <r>
    <n v="100434"/>
    <x v="2"/>
    <x v="6"/>
    <x v="1"/>
    <x v="434"/>
    <n v="94561"/>
    <n v="448215"/>
    <n v="3758"/>
    <n v="13"/>
    <d v="2023-03-24T00:00:00"/>
    <n v="0.21099999999999999"/>
    <n v="8.3843691085751253"/>
    <n v="7273.9230769230771"/>
  </r>
  <r>
    <n v="100435"/>
    <x v="2"/>
    <x v="0"/>
    <x v="3"/>
    <x v="435"/>
    <n v="86420"/>
    <n v="854051"/>
    <n v="819"/>
    <n v="13"/>
    <d v="2023-03-25T00:00:00"/>
    <n v="0.1012"/>
    <n v="0.95895912539180916"/>
    <n v="6647.6923076923076"/>
  </r>
  <r>
    <n v="100436"/>
    <x v="2"/>
    <x v="1"/>
    <x v="2"/>
    <x v="436"/>
    <n v="37967"/>
    <n v="51332"/>
    <n v="222"/>
    <n v="13"/>
    <d v="2023-03-26T00:00:00"/>
    <n v="0.73960000000000004"/>
    <n v="4.3247876568222559"/>
    <n v="2920.5384615384614"/>
  </r>
  <r>
    <n v="100437"/>
    <x v="1"/>
    <x v="6"/>
    <x v="1"/>
    <x v="437"/>
    <n v="4776"/>
    <n v="524131"/>
    <n v="455"/>
    <n v="17"/>
    <d v="2023-03-31T00:00:00"/>
    <n v="9.1000000000000004E-3"/>
    <n v="0.86810358479082517"/>
    <n v="280.94117647058823"/>
  </r>
  <r>
    <n v="100438"/>
    <x v="0"/>
    <x v="3"/>
    <x v="1"/>
    <x v="438"/>
    <n v="19511"/>
    <n v="192767"/>
    <n v="1209"/>
    <n v="2"/>
    <d v="2023-03-17T00:00:00"/>
    <n v="0.1012"/>
    <n v="6.27182038419439"/>
    <n v="9755.5"/>
  </r>
  <r>
    <n v="100439"/>
    <x v="1"/>
    <x v="6"/>
    <x v="1"/>
    <x v="439"/>
    <n v="35858"/>
    <n v="845219"/>
    <n v="4510"/>
    <n v="13"/>
    <d v="2023-03-29T00:00:00"/>
    <n v="4.24E-2"/>
    <n v="5.3358951940266373"/>
    <n v="2758.3076923076924"/>
  </r>
  <r>
    <n v="100440"/>
    <x v="0"/>
    <x v="3"/>
    <x v="3"/>
    <x v="440"/>
    <n v="93639"/>
    <n v="302517"/>
    <n v="3771"/>
    <n v="28"/>
    <d v="2023-04-14T00:00:00"/>
    <n v="0.3095"/>
    <n v="12.46541516675096"/>
    <n v="3344.25"/>
  </r>
  <r>
    <n v="100441"/>
    <x v="2"/>
    <x v="1"/>
    <x v="0"/>
    <x v="441"/>
    <n v="39477"/>
    <n v="67477"/>
    <n v="1604"/>
    <n v="21"/>
    <d v="2023-04-08T00:00:00"/>
    <n v="0.58499999999999996"/>
    <n v="23.771062732486627"/>
    <n v="1879.8571428571429"/>
  </r>
  <r>
    <n v="100442"/>
    <x v="0"/>
    <x v="4"/>
    <x v="0"/>
    <x v="442"/>
    <n v="77952"/>
    <n v="930316"/>
    <n v="1138"/>
    <n v="21"/>
    <d v="2023-04-09T00:00:00"/>
    <n v="8.3799999999999999E-2"/>
    <n v="1.2232402753473013"/>
    <n v="3712"/>
  </r>
  <r>
    <n v="100443"/>
    <x v="2"/>
    <x v="0"/>
    <x v="3"/>
    <x v="443"/>
    <n v="40802"/>
    <n v="652291"/>
    <n v="62"/>
    <n v="7"/>
    <d v="2023-03-27T00:00:00"/>
    <n v="6.2600000000000003E-2"/>
    <n v="9.5049602094770577E-2"/>
    <n v="5828.8571428571431"/>
  </r>
  <r>
    <n v="100444"/>
    <x v="2"/>
    <x v="0"/>
    <x v="2"/>
    <x v="444"/>
    <n v="98131"/>
    <n v="251441"/>
    <n v="4037"/>
    <n v="23"/>
    <d v="2023-04-13T00:00:00"/>
    <n v="0.39029999999999998"/>
    <n v="16.055456349600899"/>
    <n v="4266.565217391304"/>
  </r>
  <r>
    <n v="100445"/>
    <x v="0"/>
    <x v="2"/>
    <x v="4"/>
    <x v="445"/>
    <n v="12331"/>
    <n v="646822"/>
    <n v="3100"/>
    <n v="25"/>
    <d v="2023-04-16T00:00:00"/>
    <n v="1.9099999999999999E-2"/>
    <n v="4.7926632056423566"/>
    <n v="493.24"/>
  </r>
  <r>
    <n v="100446"/>
    <x v="3"/>
    <x v="1"/>
    <x v="1"/>
    <x v="446"/>
    <n v="21117"/>
    <n v="365299"/>
    <n v="688"/>
    <n v="7"/>
    <d v="2023-03-30T00:00:00"/>
    <n v="5.7799999999999997E-2"/>
    <n v="1.8833886761255847"/>
    <n v="3016.7142857142858"/>
  </r>
  <r>
    <n v="100447"/>
    <x v="1"/>
    <x v="5"/>
    <x v="2"/>
    <x v="447"/>
    <n v="38002"/>
    <n v="313675"/>
    <n v="3621"/>
    <n v="10"/>
    <d v="2023-04-03T00:00:00"/>
    <n v="0.1212"/>
    <n v="11.543795329560851"/>
    <n v="3800.2"/>
  </r>
  <r>
    <n v="100448"/>
    <x v="2"/>
    <x v="2"/>
    <x v="4"/>
    <x v="448"/>
    <n v="29308"/>
    <n v="460795"/>
    <n v="3074"/>
    <n v="28"/>
    <d v="2023-04-22T00:00:00"/>
    <n v="6.3600000000000004E-2"/>
    <n v="6.6710793302878724"/>
    <n v="1046.7142857142858"/>
  </r>
  <r>
    <n v="100449"/>
    <x v="1"/>
    <x v="4"/>
    <x v="4"/>
    <x v="449"/>
    <n v="73104"/>
    <n v="809768"/>
    <n v="3874"/>
    <n v="2"/>
    <d v="2023-03-28T00:00:00"/>
    <n v="9.0300000000000005E-2"/>
    <n v="4.7840863062012824"/>
    <n v="36552"/>
  </r>
  <r>
    <n v="100450"/>
    <x v="2"/>
    <x v="6"/>
    <x v="1"/>
    <x v="450"/>
    <n v="83069"/>
    <n v="545772"/>
    <n v="3212"/>
    <n v="20"/>
    <d v="2023-04-16T00:00:00"/>
    <n v="0.1522"/>
    <n v="5.8852414561391937"/>
    <n v="4153.45"/>
  </r>
  <r>
    <n v="100451"/>
    <x v="0"/>
    <x v="2"/>
    <x v="1"/>
    <x v="451"/>
    <n v="16596"/>
    <n v="283655"/>
    <n v="1127"/>
    <n v="11"/>
    <d v="2023-04-08T00:00:00"/>
    <n v="5.8500000000000003E-2"/>
    <n v="3.9731363804621811"/>
    <n v="1508.7272727272727"/>
  </r>
  <r>
    <n v="100452"/>
    <x v="0"/>
    <x v="4"/>
    <x v="1"/>
    <x v="452"/>
    <n v="61382"/>
    <n v="529441"/>
    <n v="3110"/>
    <n v="6"/>
    <d v="2023-04-04T00:00:00"/>
    <n v="0.1159"/>
    <n v="5.8741200624809942"/>
    <n v="10230.333333333334"/>
  </r>
  <r>
    <n v="100453"/>
    <x v="2"/>
    <x v="1"/>
    <x v="0"/>
    <x v="453"/>
    <n v="42273"/>
    <n v="315003"/>
    <n v="1574"/>
    <n v="12"/>
    <d v="2023-04-11T00:00:00"/>
    <n v="0.13420000000000001"/>
    <n v="4.9967778084653167"/>
    <n v="3522.75"/>
  </r>
  <r>
    <n v="100454"/>
    <x v="2"/>
    <x v="0"/>
    <x v="3"/>
    <x v="454"/>
    <n v="10011"/>
    <n v="792876"/>
    <n v="584"/>
    <n v="7"/>
    <d v="2023-04-07T00:00:00"/>
    <n v="1.26E-2"/>
    <n v="0.73655905841518721"/>
    <n v="1430.1428571428571"/>
  </r>
  <r>
    <n v="100455"/>
    <x v="2"/>
    <x v="2"/>
    <x v="3"/>
    <x v="455"/>
    <n v="60669"/>
    <n v="894784"/>
    <n v="1209"/>
    <n v="24"/>
    <d v="2023-04-25T00:00:00"/>
    <n v="6.7799999999999999E-2"/>
    <n v="1.3511640798226163"/>
    <n v="2527.875"/>
  </r>
  <r>
    <n v="100456"/>
    <x v="3"/>
    <x v="2"/>
    <x v="2"/>
    <x v="456"/>
    <n v="70678"/>
    <n v="820891"/>
    <n v="1748"/>
    <n v="8"/>
    <d v="2023-04-10T00:00:00"/>
    <n v="8.6099999999999996E-2"/>
    <n v="2.1293935492044622"/>
    <n v="8834.75"/>
  </r>
  <r>
    <n v="100457"/>
    <x v="1"/>
    <x v="2"/>
    <x v="3"/>
    <x v="457"/>
    <n v="62718"/>
    <n v="195735"/>
    <n v="687"/>
    <n v="24"/>
    <d v="2023-04-27T00:00:00"/>
    <n v="0.32040000000000002"/>
    <n v="3.5098474978925589"/>
    <n v="2613.25"/>
  </r>
  <r>
    <n v="100458"/>
    <x v="0"/>
    <x v="2"/>
    <x v="1"/>
    <x v="458"/>
    <n v="83165"/>
    <n v="184982"/>
    <n v="4985"/>
    <n v="10"/>
    <d v="2023-04-14T00:00:00"/>
    <n v="0.4496"/>
    <n v="26.94856796877534"/>
    <n v="8316.5"/>
  </r>
  <r>
    <n v="100459"/>
    <x v="1"/>
    <x v="3"/>
    <x v="0"/>
    <x v="459"/>
    <n v="95437"/>
    <n v="445231"/>
    <n v="94"/>
    <n v="5"/>
    <d v="2023-04-10T00:00:00"/>
    <n v="0.21440000000000001"/>
    <n v="0.21112635912593689"/>
    <n v="19087.400000000001"/>
  </r>
  <r>
    <n v="100460"/>
    <x v="1"/>
    <x v="0"/>
    <x v="0"/>
    <x v="460"/>
    <n v="21060"/>
    <n v="275370"/>
    <n v="4090"/>
    <n v="10"/>
    <d v="2023-04-16T00:00:00"/>
    <n v="7.6499999999999999E-2"/>
    <n v="14.852743581363256"/>
    <n v="2106"/>
  </r>
  <r>
    <n v="100461"/>
    <x v="2"/>
    <x v="1"/>
    <x v="2"/>
    <x v="461"/>
    <n v="56817"/>
    <n v="891924"/>
    <n v="3881"/>
    <n v="20"/>
    <d v="2023-04-27T00:00:00"/>
    <n v="6.3700000000000007E-2"/>
    <n v="4.3512675967907581"/>
    <n v="2840.85"/>
  </r>
  <r>
    <n v="100462"/>
    <x v="3"/>
    <x v="4"/>
    <x v="4"/>
    <x v="462"/>
    <n v="35377"/>
    <n v="112399"/>
    <n v="2138"/>
    <n v="27"/>
    <d v="2023-05-05T00:00:00"/>
    <n v="0.31469999999999998"/>
    <n v="19.021521543785976"/>
    <n v="1310.2592592592594"/>
  </r>
  <r>
    <n v="100463"/>
    <x v="2"/>
    <x v="0"/>
    <x v="2"/>
    <x v="463"/>
    <n v="437"/>
    <n v="246907"/>
    <n v="3529"/>
    <n v="17"/>
    <d v="2023-04-26T00:00:00"/>
    <n v="1.8E-3"/>
    <n v="14.292830903943589"/>
    <n v="25.705882352941178"/>
  </r>
  <r>
    <n v="100464"/>
    <x v="1"/>
    <x v="3"/>
    <x v="1"/>
    <x v="464"/>
    <n v="74296"/>
    <n v="83613"/>
    <n v="524"/>
    <n v="8"/>
    <d v="2023-04-18T00:00:00"/>
    <n v="0.88859999999999995"/>
    <n v="6.2669680552067257"/>
    <n v="9287"/>
  </r>
  <r>
    <n v="100465"/>
    <x v="1"/>
    <x v="1"/>
    <x v="4"/>
    <x v="465"/>
    <n v="9906"/>
    <n v="589198"/>
    <n v="1570"/>
    <n v="9"/>
    <d v="2023-04-20T00:00:00"/>
    <n v="1.6799999999999999E-2"/>
    <n v="2.6646390517279421"/>
    <n v="1100.6666666666667"/>
  </r>
  <r>
    <n v="100466"/>
    <x v="1"/>
    <x v="5"/>
    <x v="4"/>
    <x v="466"/>
    <n v="87037"/>
    <n v="98263"/>
    <n v="513"/>
    <n v="6"/>
    <d v="2023-04-18T00:00:00"/>
    <n v="0.88580000000000003"/>
    <n v="5.2206832683716149"/>
    <n v="14506.166666666666"/>
  </r>
  <r>
    <n v="100467"/>
    <x v="3"/>
    <x v="1"/>
    <x v="2"/>
    <x v="467"/>
    <n v="40763"/>
    <n v="588338"/>
    <n v="1707"/>
    <n v="9"/>
    <d v="2023-04-22T00:00:00"/>
    <n v="6.93E-2"/>
    <n v="2.9013934167094426"/>
    <n v="4529.2222222222226"/>
  </r>
  <r>
    <n v="100468"/>
    <x v="2"/>
    <x v="6"/>
    <x v="1"/>
    <x v="468"/>
    <n v="89215"/>
    <n v="570723"/>
    <n v="842"/>
    <n v="10"/>
    <d v="2023-04-24T00:00:00"/>
    <n v="0.15629999999999999"/>
    <n v="1.4753216534115499"/>
    <n v="8921.5"/>
  </r>
  <r>
    <n v="100469"/>
    <x v="1"/>
    <x v="0"/>
    <x v="1"/>
    <x v="469"/>
    <n v="5409"/>
    <n v="642939"/>
    <n v="1857"/>
    <n v="18"/>
    <d v="2023-05-03T00:00:00"/>
    <n v="8.3999999999999995E-3"/>
    <n v="2.8882988899413471"/>
    <n v="300.5"/>
  </r>
  <r>
    <n v="100470"/>
    <x v="1"/>
    <x v="3"/>
    <x v="2"/>
    <x v="470"/>
    <n v="92811"/>
    <n v="110221"/>
    <n v="628"/>
    <n v="25"/>
    <d v="2023-05-11T00:00:00"/>
    <n v="0.84199999999999997"/>
    <n v="5.6976438246795071"/>
    <n v="3712.44"/>
  </r>
  <r>
    <n v="100471"/>
    <x v="1"/>
    <x v="2"/>
    <x v="1"/>
    <x v="471"/>
    <n v="35641"/>
    <n v="540783"/>
    <n v="938"/>
    <n v="23"/>
    <d v="2023-05-10T00:00:00"/>
    <n v="6.59E-2"/>
    <n v="1.7345219801657965"/>
    <n v="1549.608695652174"/>
  </r>
  <r>
    <n v="100472"/>
    <x v="2"/>
    <x v="3"/>
    <x v="2"/>
    <x v="472"/>
    <n v="65466"/>
    <n v="555327"/>
    <n v="1690"/>
    <n v="21"/>
    <d v="2023-05-09T00:00:00"/>
    <n v="0.1179"/>
    <n v="3.0432519938702782"/>
    <n v="3117.4285714285716"/>
  </r>
  <r>
    <n v="100473"/>
    <x v="2"/>
    <x v="3"/>
    <x v="4"/>
    <x v="473"/>
    <n v="72702"/>
    <n v="834114"/>
    <n v="477"/>
    <n v="23"/>
    <d v="2023-05-12T00:00:00"/>
    <n v="8.72E-2"/>
    <n v="0.57186427754479596"/>
    <n v="3160.9565217391305"/>
  </r>
  <r>
    <n v="100474"/>
    <x v="2"/>
    <x v="0"/>
    <x v="4"/>
    <x v="474"/>
    <n v="31319"/>
    <n v="882159"/>
    <n v="1905"/>
    <n v="25"/>
    <d v="2023-05-15T00:00:00"/>
    <n v="3.5499999999999997E-2"/>
    <n v="2.1594746525286261"/>
    <n v="1252.76"/>
  </r>
  <r>
    <n v="100475"/>
    <x v="2"/>
    <x v="3"/>
    <x v="0"/>
    <x v="475"/>
    <n v="74003"/>
    <n v="183314"/>
    <n v="303"/>
    <n v="3"/>
    <d v="2023-04-24T00:00:00"/>
    <n v="0.4037"/>
    <n v="1.652901578711937"/>
    <n v="24667.666666666668"/>
  </r>
  <r>
    <n v="100476"/>
    <x v="1"/>
    <x v="3"/>
    <x v="3"/>
    <x v="476"/>
    <n v="59217"/>
    <n v="18199"/>
    <n v="1289"/>
    <n v="7"/>
    <d v="2023-04-29T00:00:00"/>
    <n v="3.2538999999999998"/>
    <n v="70.828067476234963"/>
    <n v="8459.5714285714294"/>
  </r>
  <r>
    <n v="100477"/>
    <x v="1"/>
    <x v="5"/>
    <x v="2"/>
    <x v="477"/>
    <n v="6010"/>
    <n v="787016"/>
    <n v="3785"/>
    <n v="1"/>
    <d v="2023-04-24T00:00:00"/>
    <n v="7.6E-3"/>
    <n v="4.8093050204824301"/>
    <n v="6010"/>
  </r>
  <r>
    <n v="100478"/>
    <x v="1"/>
    <x v="3"/>
    <x v="4"/>
    <x v="478"/>
    <n v="88163"/>
    <n v="330403"/>
    <n v="3467"/>
    <n v="17"/>
    <d v="2023-05-11T00:00:00"/>
    <n v="0.26679999999999998"/>
    <n v="10.493246126699818"/>
    <n v="5186.0588235294117"/>
  </r>
  <r>
    <n v="100479"/>
    <x v="1"/>
    <x v="2"/>
    <x v="1"/>
    <x v="479"/>
    <n v="65889"/>
    <n v="908995"/>
    <n v="4683"/>
    <n v="21"/>
    <d v="2023-05-16T00:00:00"/>
    <n v="7.2499999999999995E-2"/>
    <n v="5.1518435194913064"/>
    <n v="3137.5714285714284"/>
  </r>
  <r>
    <n v="100480"/>
    <x v="1"/>
    <x v="6"/>
    <x v="4"/>
    <x v="480"/>
    <n v="97719"/>
    <n v="115906"/>
    <n v="2157"/>
    <n v="22"/>
    <d v="2023-05-18T00:00:00"/>
    <n v="0.84309999999999996"/>
    <n v="18.609908028919985"/>
    <n v="4441.772727272727"/>
  </r>
  <r>
    <n v="100481"/>
    <x v="2"/>
    <x v="2"/>
    <x v="4"/>
    <x v="481"/>
    <n v="23486"/>
    <n v="66452"/>
    <n v="615"/>
    <n v="2"/>
    <d v="2023-04-29T00:00:00"/>
    <n v="0.35339999999999999"/>
    <n v="9.2548004574730633"/>
    <n v="11743"/>
  </r>
  <r>
    <n v="100482"/>
    <x v="1"/>
    <x v="3"/>
    <x v="3"/>
    <x v="482"/>
    <n v="72119"/>
    <n v="557946"/>
    <n v="1468"/>
    <n v="24"/>
    <d v="2023-05-22T00:00:00"/>
    <n v="0.1293"/>
    <n v="2.6310789933075962"/>
    <n v="3004.9583333333335"/>
  </r>
  <r>
    <n v="100483"/>
    <x v="2"/>
    <x v="2"/>
    <x v="2"/>
    <x v="483"/>
    <n v="28514"/>
    <n v="567076"/>
    <n v="3864"/>
    <n v="3"/>
    <d v="2023-05-02T00:00:00"/>
    <n v="5.0299999999999997E-2"/>
    <n v="6.8139014876312878"/>
    <n v="9504.6666666666661"/>
  </r>
  <r>
    <n v="100484"/>
    <x v="2"/>
    <x v="3"/>
    <x v="0"/>
    <x v="484"/>
    <n v="69886"/>
    <n v="766629"/>
    <n v="165"/>
    <n v="25"/>
    <d v="2023-05-25T00:00:00"/>
    <n v="9.1200000000000003E-2"/>
    <n v="0.21522796554787257"/>
    <n v="2795.44"/>
  </r>
  <r>
    <n v="100485"/>
    <x v="1"/>
    <x v="1"/>
    <x v="4"/>
    <x v="485"/>
    <n v="19250"/>
    <n v="592816"/>
    <n v="3396"/>
    <n v="24"/>
    <d v="2023-05-25T00:00:00"/>
    <n v="3.2500000000000001E-2"/>
    <n v="5.7285903214488139"/>
    <n v="802.08333333333337"/>
  </r>
  <r>
    <n v="100486"/>
    <x v="1"/>
    <x v="5"/>
    <x v="0"/>
    <x v="486"/>
    <n v="64816"/>
    <n v="825902"/>
    <n v="868"/>
    <n v="12"/>
    <d v="2023-05-14T00:00:00"/>
    <n v="7.85E-2"/>
    <n v="1.0509721492380451"/>
    <n v="5401.333333333333"/>
  </r>
  <r>
    <n v="100487"/>
    <x v="2"/>
    <x v="5"/>
    <x v="4"/>
    <x v="487"/>
    <n v="37477"/>
    <n v="143470"/>
    <n v="1102"/>
    <n v="13"/>
    <d v="2023-05-16T00:00:00"/>
    <n v="0.26119999999999999"/>
    <n v="7.6810483027810692"/>
    <n v="2882.8461538461538"/>
  </r>
  <r>
    <n v="100488"/>
    <x v="1"/>
    <x v="1"/>
    <x v="0"/>
    <x v="488"/>
    <n v="85602"/>
    <n v="357426"/>
    <n v="4309"/>
    <n v="15"/>
    <d v="2023-05-19T00:00:00"/>
    <n v="0.23949999999999999"/>
    <n v="12.055642286795029"/>
    <n v="5706.8"/>
  </r>
  <r>
    <n v="100489"/>
    <x v="1"/>
    <x v="3"/>
    <x v="2"/>
    <x v="489"/>
    <n v="21869"/>
    <n v="358232"/>
    <n v="1229"/>
    <n v="4"/>
    <d v="2023-05-09T00:00:00"/>
    <n v="6.0999999999999999E-2"/>
    <n v="3.4307376225462827"/>
    <n v="5467.25"/>
  </r>
  <r>
    <n v="100490"/>
    <x v="0"/>
    <x v="4"/>
    <x v="2"/>
    <x v="490"/>
    <n v="43948"/>
    <n v="373655"/>
    <n v="1599"/>
    <n v="6"/>
    <d v="2023-05-12T00:00:00"/>
    <n v="0.1176"/>
    <n v="4.2793485969677905"/>
    <n v="7324.666666666667"/>
  </r>
  <r>
    <n v="100491"/>
    <x v="1"/>
    <x v="1"/>
    <x v="0"/>
    <x v="491"/>
    <n v="55893"/>
    <n v="476639"/>
    <n v="2554"/>
    <n v="12"/>
    <d v="2023-05-19T00:00:00"/>
    <n v="0.1173"/>
    <n v="5.3583529673400623"/>
    <n v="4657.75"/>
  </r>
  <r>
    <n v="100492"/>
    <x v="1"/>
    <x v="6"/>
    <x v="0"/>
    <x v="492"/>
    <n v="39732"/>
    <n v="316819"/>
    <n v="1249"/>
    <n v="6"/>
    <d v="2023-05-14T00:00:00"/>
    <n v="0.12540000000000001"/>
    <n v="3.9423140657599451"/>
    <n v="6622"/>
  </r>
  <r>
    <n v="100493"/>
    <x v="2"/>
    <x v="4"/>
    <x v="0"/>
    <x v="493"/>
    <n v="9506"/>
    <n v="354489"/>
    <n v="1765"/>
    <n v="27"/>
    <d v="2023-06-05T00:00:00"/>
    <n v="2.6800000000000001E-2"/>
    <n v="4.978997937876775"/>
    <n v="352.07407407407408"/>
  </r>
  <r>
    <n v="100494"/>
    <x v="0"/>
    <x v="6"/>
    <x v="1"/>
    <x v="494"/>
    <n v="67688"/>
    <n v="560976"/>
    <n v="740"/>
    <n v="23"/>
    <d v="2023-06-02T00:00:00"/>
    <n v="0.1207"/>
    <n v="1.3191295171272923"/>
    <n v="2942.9565217391305"/>
  </r>
  <r>
    <n v="100495"/>
    <x v="1"/>
    <x v="6"/>
    <x v="1"/>
    <x v="495"/>
    <n v="92093"/>
    <n v="654043"/>
    <n v="1689"/>
    <n v="29"/>
    <d v="2023-06-09T00:00:00"/>
    <n v="0.14080000000000001"/>
    <n v="2.5823990165784205"/>
    <n v="3175.6206896551726"/>
  </r>
  <r>
    <n v="100496"/>
    <x v="1"/>
    <x v="1"/>
    <x v="1"/>
    <x v="496"/>
    <n v="2046"/>
    <n v="239661"/>
    <n v="566"/>
    <n v="17"/>
    <d v="2023-05-29T00:00:00"/>
    <n v="8.5000000000000006E-3"/>
    <n v="2.3616691910657139"/>
    <n v="120.35294117647059"/>
  </r>
  <r>
    <n v="100497"/>
    <x v="1"/>
    <x v="6"/>
    <x v="0"/>
    <x v="497"/>
    <n v="86161"/>
    <n v="416435"/>
    <n v="2610"/>
    <n v="22"/>
    <d v="2023-06-04T00:00:00"/>
    <n v="0.2069"/>
    <n v="6.2674847215051575"/>
    <n v="3916.409090909091"/>
  </r>
  <r>
    <n v="100498"/>
    <x v="2"/>
    <x v="4"/>
    <x v="2"/>
    <x v="498"/>
    <n v="41336"/>
    <n v="406980"/>
    <n v="3057"/>
    <n v="17"/>
    <d v="2023-05-31T00:00:00"/>
    <n v="0.1016"/>
    <n v="7.511425622880731"/>
    <n v="2431.5294117647059"/>
  </r>
  <r>
    <n v="100499"/>
    <x v="1"/>
    <x v="6"/>
    <x v="3"/>
    <x v="499"/>
    <n v="61984"/>
    <n v="707066"/>
    <n v="4122"/>
    <n v="13"/>
    <d v="2023-05-28T00:00:00"/>
    <n v="8.77E-2"/>
    <n v="5.8297245235946855"/>
    <n v="4768"/>
  </r>
  <r>
    <n v="100500"/>
    <x v="0"/>
    <x v="6"/>
    <x v="4"/>
    <x v="500"/>
    <n v="66095"/>
    <n v="300877"/>
    <n v="4807"/>
    <n v="22"/>
    <d v="2023-06-07T00:00:00"/>
    <n v="0.21970000000000001"/>
    <n v="15.97662832320184"/>
    <n v="3004.318181818182"/>
  </r>
  <r>
    <n v="100501"/>
    <x v="0"/>
    <x v="1"/>
    <x v="4"/>
    <x v="501"/>
    <n v="26954"/>
    <n v="231385"/>
    <n v="189"/>
    <n v="24"/>
    <d v="2023-06-10T00:00:00"/>
    <n v="0.11650000000000001"/>
    <n v="0.81682045076387833"/>
    <n v="1123.0833333333333"/>
  </r>
  <r>
    <n v="100502"/>
    <x v="3"/>
    <x v="0"/>
    <x v="2"/>
    <x v="502"/>
    <n v="40478"/>
    <n v="582512"/>
    <n v="4737"/>
    <n v="28"/>
    <d v="2023-06-15T00:00:00"/>
    <n v="6.9500000000000006E-2"/>
    <n v="8.1320213145823601"/>
    <n v="1445.6428571428571"/>
  </r>
  <r>
    <n v="100503"/>
    <x v="1"/>
    <x v="4"/>
    <x v="2"/>
    <x v="503"/>
    <n v="72757"/>
    <n v="366225"/>
    <n v="1885"/>
    <n v="17"/>
    <d v="2023-06-05T00:00:00"/>
    <n v="0.19869999999999999"/>
    <n v="5.1471090176803882"/>
    <n v="4279.8235294117649"/>
  </r>
  <r>
    <n v="100504"/>
    <x v="1"/>
    <x v="3"/>
    <x v="4"/>
    <x v="504"/>
    <n v="29999"/>
    <n v="919989"/>
    <n v="1848"/>
    <n v="2"/>
    <d v="2023-05-22T00:00:00"/>
    <n v="3.2599999999999997E-2"/>
    <n v="2.008719669474309"/>
    <n v="14999.5"/>
  </r>
  <r>
    <n v="100505"/>
    <x v="0"/>
    <x v="6"/>
    <x v="1"/>
    <x v="505"/>
    <n v="2812"/>
    <n v="505483"/>
    <n v="2939"/>
    <n v="2"/>
    <d v="2023-05-23T00:00:00"/>
    <n v="5.5999999999999999E-3"/>
    <n v="5.8142410328339436"/>
    <n v="1406"/>
  </r>
  <r>
    <n v="100506"/>
    <x v="2"/>
    <x v="4"/>
    <x v="0"/>
    <x v="506"/>
    <n v="47498"/>
    <n v="478186"/>
    <n v="967"/>
    <n v="12"/>
    <d v="2023-06-03T00:00:00"/>
    <n v="9.9299999999999999E-2"/>
    <n v="2.0222256611444083"/>
    <n v="3958.1666666666665"/>
  </r>
  <r>
    <n v="100507"/>
    <x v="0"/>
    <x v="1"/>
    <x v="3"/>
    <x v="507"/>
    <n v="73873"/>
    <n v="153632"/>
    <n v="663"/>
    <n v="15"/>
    <d v="2023-06-07T00:00:00"/>
    <n v="0.48080000000000001"/>
    <n v="4.3155071860029155"/>
    <n v="4924.8666666666668"/>
  </r>
  <r>
    <n v="100508"/>
    <x v="1"/>
    <x v="6"/>
    <x v="4"/>
    <x v="508"/>
    <n v="61373"/>
    <n v="46505"/>
    <n v="2594"/>
    <n v="2"/>
    <d v="2023-05-26T00:00:00"/>
    <n v="1.3197000000000001"/>
    <n v="55.778948500161277"/>
    <n v="30686.5"/>
  </r>
  <r>
    <n v="100509"/>
    <x v="2"/>
    <x v="0"/>
    <x v="1"/>
    <x v="509"/>
    <n v="9659"/>
    <n v="907108"/>
    <n v="2775"/>
    <n v="9"/>
    <d v="2023-06-03T00:00:00"/>
    <n v="1.06E-2"/>
    <n v="3.0591726674221813"/>
    <n v="1073.2222222222222"/>
  </r>
  <r>
    <n v="100510"/>
    <x v="2"/>
    <x v="4"/>
    <x v="1"/>
    <x v="510"/>
    <n v="90220"/>
    <n v="961362"/>
    <n v="1148"/>
    <n v="3"/>
    <d v="2023-05-29T00:00:00"/>
    <n v="9.3799999999999994E-2"/>
    <n v="1.1941391484165174"/>
    <n v="30073.333333333332"/>
  </r>
  <r>
    <n v="100511"/>
    <x v="0"/>
    <x v="0"/>
    <x v="2"/>
    <x v="511"/>
    <n v="22282"/>
    <n v="771847"/>
    <n v="1183"/>
    <n v="5"/>
    <d v="2023-06-01T00:00:00"/>
    <n v="2.8899999999999999E-2"/>
    <n v="1.5326871776401281"/>
    <n v="4456.3999999999996"/>
  </r>
  <r>
    <n v="100512"/>
    <x v="2"/>
    <x v="4"/>
    <x v="2"/>
    <x v="512"/>
    <n v="52425"/>
    <n v="121915"/>
    <n v="4983"/>
    <n v="13"/>
    <d v="2023-06-10T00:00:00"/>
    <n v="0.43"/>
    <n v="40.872739203543453"/>
    <n v="4032.6923076923076"/>
  </r>
  <r>
    <n v="100513"/>
    <x v="2"/>
    <x v="5"/>
    <x v="1"/>
    <x v="513"/>
    <n v="43081"/>
    <n v="631580"/>
    <n v="126"/>
    <n v="23"/>
    <d v="2023-06-21T00:00:00"/>
    <n v="6.8199999999999997E-2"/>
    <n v="0.19949966750055417"/>
    <n v="1873.0869565217392"/>
  </r>
  <r>
    <n v="100514"/>
    <x v="2"/>
    <x v="1"/>
    <x v="3"/>
    <x v="514"/>
    <n v="72055"/>
    <n v="962276"/>
    <n v="1518"/>
    <n v="11"/>
    <d v="2023-06-10T00:00:00"/>
    <n v="7.4899999999999994E-2"/>
    <n v="1.5775099867397713"/>
    <n v="6550.454545454545"/>
  </r>
  <r>
    <n v="100515"/>
    <x v="2"/>
    <x v="1"/>
    <x v="4"/>
    <x v="515"/>
    <n v="61536"/>
    <n v="949146"/>
    <n v="975"/>
    <n v="15"/>
    <d v="2023-06-15T00:00:00"/>
    <n v="6.4799999999999996E-2"/>
    <n v="1.0272392234703618"/>
    <n v="4102.3999999999996"/>
  </r>
  <r>
    <n v="100516"/>
    <x v="2"/>
    <x v="1"/>
    <x v="1"/>
    <x v="516"/>
    <n v="25336"/>
    <n v="949498"/>
    <n v="95"/>
    <n v="25"/>
    <d v="2023-06-26T00:00:00"/>
    <n v="2.6700000000000002E-2"/>
    <n v="0.10005287004290689"/>
    <n v="1013.44"/>
  </r>
  <r>
    <n v="100517"/>
    <x v="0"/>
    <x v="3"/>
    <x v="3"/>
    <x v="517"/>
    <n v="26863"/>
    <n v="503294"/>
    <n v="817"/>
    <n v="29"/>
    <d v="2023-07-01T00:00:00"/>
    <n v="5.3400000000000003E-2"/>
    <n v="1.6233056622967887"/>
    <n v="926.31034482758616"/>
  </r>
  <r>
    <n v="100518"/>
    <x v="2"/>
    <x v="6"/>
    <x v="4"/>
    <x v="518"/>
    <n v="73696"/>
    <n v="801070"/>
    <n v="1112"/>
    <n v="29"/>
    <d v="2023-07-02T00:00:00"/>
    <n v="9.1999999999999998E-2"/>
    <n v="1.3881433582583296"/>
    <n v="2541.2413793103447"/>
  </r>
  <r>
    <n v="100519"/>
    <x v="0"/>
    <x v="6"/>
    <x v="3"/>
    <x v="519"/>
    <n v="15194"/>
    <n v="541521"/>
    <n v="975"/>
    <n v="7"/>
    <d v="2023-06-11T00:00:00"/>
    <n v="2.81E-2"/>
    <n v="1.8004841917487966"/>
    <n v="2170.5714285714284"/>
  </r>
  <r>
    <n v="100520"/>
    <x v="0"/>
    <x v="1"/>
    <x v="1"/>
    <x v="520"/>
    <n v="68100"/>
    <n v="99992"/>
    <n v="70"/>
    <n v="27"/>
    <d v="2023-07-02T00:00:00"/>
    <n v="0.68110000000000004"/>
    <n v="0.70005600448035843"/>
    <n v="2522.2222222222222"/>
  </r>
  <r>
    <n v="100521"/>
    <x v="2"/>
    <x v="4"/>
    <x v="2"/>
    <x v="521"/>
    <n v="6385"/>
    <n v="719227"/>
    <n v="796"/>
    <n v="26"/>
    <d v="2023-07-02T00:00:00"/>
    <n v="8.8999999999999999E-3"/>
    <n v="1.1067437679619925"/>
    <n v="245.57692307692307"/>
  </r>
  <r>
    <n v="100522"/>
    <x v="2"/>
    <x v="6"/>
    <x v="2"/>
    <x v="522"/>
    <n v="6275"/>
    <n v="581862"/>
    <n v="3879"/>
    <n v="15"/>
    <d v="2023-06-22T00:00:00"/>
    <n v="1.0800000000000001E-2"/>
    <n v="6.6665291770213555"/>
    <n v="418.33333333333331"/>
  </r>
  <r>
    <n v="100523"/>
    <x v="1"/>
    <x v="5"/>
    <x v="3"/>
    <x v="523"/>
    <n v="36378"/>
    <n v="64579"/>
    <n v="3732"/>
    <n v="4"/>
    <d v="2023-06-12T00:00:00"/>
    <n v="0.56330000000000002"/>
    <n v="57.789683952987815"/>
    <n v="9094.5"/>
  </r>
  <r>
    <n v="100524"/>
    <x v="2"/>
    <x v="4"/>
    <x v="4"/>
    <x v="524"/>
    <n v="33190"/>
    <n v="197091"/>
    <n v="3009"/>
    <n v="26"/>
    <d v="2023-07-05T00:00:00"/>
    <n v="0.16839999999999999"/>
    <n v="15.267059378662648"/>
    <n v="1276.5384615384614"/>
  </r>
  <r>
    <n v="100525"/>
    <x v="2"/>
    <x v="0"/>
    <x v="2"/>
    <x v="525"/>
    <n v="39477"/>
    <n v="533510"/>
    <n v="919"/>
    <n v="1"/>
    <d v="2023-06-11T00:00:00"/>
    <n v="7.3999999999999996E-2"/>
    <n v="1.7225544038537235"/>
    <n v="39477"/>
  </r>
  <r>
    <n v="100526"/>
    <x v="3"/>
    <x v="1"/>
    <x v="3"/>
    <x v="526"/>
    <n v="2732"/>
    <n v="665449"/>
    <n v="2363"/>
    <n v="11"/>
    <d v="2023-06-22T00:00:00"/>
    <n v="4.1000000000000003E-3"/>
    <n v="3.5509858757019699"/>
    <n v="248.36363636363637"/>
  </r>
  <r>
    <n v="100527"/>
    <x v="3"/>
    <x v="4"/>
    <x v="1"/>
    <x v="527"/>
    <n v="28339"/>
    <n v="100141"/>
    <n v="3260"/>
    <n v="2"/>
    <d v="2023-06-14T00:00:00"/>
    <n v="0.28299999999999997"/>
    <n v="32.554098720803673"/>
    <n v="14169.5"/>
  </r>
  <r>
    <n v="100528"/>
    <x v="0"/>
    <x v="1"/>
    <x v="1"/>
    <x v="528"/>
    <n v="15053"/>
    <n v="589819"/>
    <n v="3489"/>
    <n v="12"/>
    <d v="2023-06-25T00:00:00"/>
    <n v="2.5499999999999998E-2"/>
    <n v="5.9153740384762106"/>
    <n v="1254.4166666666667"/>
  </r>
  <r>
    <n v="100529"/>
    <x v="2"/>
    <x v="2"/>
    <x v="3"/>
    <x v="529"/>
    <n v="94156"/>
    <n v="671589"/>
    <n v="4888"/>
    <n v="21"/>
    <d v="2023-07-05T00:00:00"/>
    <n v="0.14019999999999999"/>
    <n v="7.2782609602003614"/>
    <n v="4483.6190476190477"/>
  </r>
  <r>
    <n v="100530"/>
    <x v="1"/>
    <x v="4"/>
    <x v="0"/>
    <x v="530"/>
    <n v="25496"/>
    <n v="861424"/>
    <n v="1871"/>
    <n v="27"/>
    <d v="2023-07-12T00:00:00"/>
    <n v="2.9600000000000001E-2"/>
    <n v="2.1719849922918328"/>
    <n v="944.2962962962963"/>
  </r>
  <r>
    <n v="100531"/>
    <x v="0"/>
    <x v="6"/>
    <x v="4"/>
    <x v="531"/>
    <n v="5753"/>
    <n v="714025"/>
    <n v="3719"/>
    <n v="23"/>
    <d v="2023-07-09T00:00:00"/>
    <n v="8.0999999999999996E-3"/>
    <n v="5.2085011029025594"/>
    <n v="250.13043478260869"/>
  </r>
  <r>
    <n v="100532"/>
    <x v="2"/>
    <x v="5"/>
    <x v="4"/>
    <x v="532"/>
    <n v="53374"/>
    <n v="503072"/>
    <n v="1403"/>
    <n v="23"/>
    <d v="2023-07-10T00:00:00"/>
    <n v="0.1061"/>
    <n v="2.7888652121366326"/>
    <n v="2320.608695652174"/>
  </r>
  <r>
    <n v="100533"/>
    <x v="1"/>
    <x v="2"/>
    <x v="2"/>
    <x v="533"/>
    <n v="2200"/>
    <n v="331588"/>
    <n v="2990"/>
    <n v="12"/>
    <d v="2023-06-30T00:00:00"/>
    <n v="6.6E-3"/>
    <n v="9.0172141332014419"/>
    <n v="183.33333333333334"/>
  </r>
  <r>
    <n v="100534"/>
    <x v="2"/>
    <x v="3"/>
    <x v="1"/>
    <x v="534"/>
    <n v="49746"/>
    <n v="423485"/>
    <n v="1823"/>
    <n v="27"/>
    <d v="2023-07-16T00:00:00"/>
    <n v="0.11749999999999999"/>
    <n v="4.3047569571531454"/>
    <n v="1842.4444444444443"/>
  </r>
  <r>
    <n v="100535"/>
    <x v="2"/>
    <x v="0"/>
    <x v="4"/>
    <x v="535"/>
    <n v="82615"/>
    <n v="371269"/>
    <n v="1609"/>
    <n v="5"/>
    <d v="2023-06-25T00:00:00"/>
    <n v="0.2225"/>
    <n v="4.3337849376058868"/>
    <n v="16523"/>
  </r>
  <r>
    <n v="100536"/>
    <x v="1"/>
    <x v="4"/>
    <x v="0"/>
    <x v="536"/>
    <n v="69314"/>
    <n v="447295"/>
    <n v="2031"/>
    <n v="22"/>
    <d v="2023-07-13T00:00:00"/>
    <n v="0.155"/>
    <n v="4.5406275500508606"/>
    <n v="3150.6363636363635"/>
  </r>
  <r>
    <n v="100537"/>
    <x v="2"/>
    <x v="6"/>
    <x v="2"/>
    <x v="537"/>
    <n v="38106"/>
    <n v="867764"/>
    <n v="2426"/>
    <n v="28"/>
    <d v="2023-07-20T00:00:00"/>
    <n v="4.3900000000000002E-2"/>
    <n v="2.7956909943256463"/>
    <n v="1360.9285714285713"/>
  </r>
  <r>
    <n v="100538"/>
    <x v="2"/>
    <x v="4"/>
    <x v="0"/>
    <x v="538"/>
    <n v="95705"/>
    <n v="523460"/>
    <n v="3704"/>
    <n v="10"/>
    <d v="2023-07-03T00:00:00"/>
    <n v="0.18279999999999999"/>
    <n v="7.0759943453176941"/>
    <n v="9570.5"/>
  </r>
  <r>
    <n v="100539"/>
    <x v="0"/>
    <x v="0"/>
    <x v="1"/>
    <x v="539"/>
    <n v="78571"/>
    <n v="780730"/>
    <n v="928"/>
    <n v="6"/>
    <d v="2023-06-30T00:00:00"/>
    <n v="0.10059999999999999"/>
    <n v="1.1886311528953672"/>
    <n v="13095.166666666666"/>
  </r>
  <r>
    <n v="100540"/>
    <x v="3"/>
    <x v="5"/>
    <x v="4"/>
    <x v="540"/>
    <n v="1373"/>
    <n v="6525"/>
    <n v="2752"/>
    <n v="23"/>
    <d v="2023-07-18T00:00:00"/>
    <n v="0.2104"/>
    <n v="421.76245210727967"/>
    <n v="59.695652173913047"/>
  </r>
  <r>
    <n v="100541"/>
    <x v="1"/>
    <x v="2"/>
    <x v="0"/>
    <x v="541"/>
    <n v="80337"/>
    <n v="708936"/>
    <n v="945"/>
    <n v="25"/>
    <d v="2023-07-21T00:00:00"/>
    <n v="0.1133"/>
    <n v="1.3329835133213719"/>
    <n v="3213.48"/>
  </r>
  <r>
    <n v="100542"/>
    <x v="0"/>
    <x v="6"/>
    <x v="3"/>
    <x v="542"/>
    <n v="8840"/>
    <n v="532195"/>
    <n v="663"/>
    <n v="6"/>
    <d v="2023-07-03T00:00:00"/>
    <n v="1.66E-2"/>
    <n v="1.2457839701613131"/>
    <n v="1473.3333333333333"/>
  </r>
  <r>
    <n v="100543"/>
    <x v="3"/>
    <x v="2"/>
    <x v="2"/>
    <x v="543"/>
    <n v="27429"/>
    <n v="750342"/>
    <n v="4696"/>
    <n v="26"/>
    <d v="2023-07-24T00:00:00"/>
    <n v="3.6600000000000001E-2"/>
    <n v="6.25847946669652"/>
    <n v="1054.9615384615386"/>
  </r>
  <r>
    <n v="100544"/>
    <x v="2"/>
    <x v="1"/>
    <x v="2"/>
    <x v="544"/>
    <n v="8827"/>
    <n v="122640"/>
    <n v="3003"/>
    <n v="28"/>
    <d v="2023-07-27T00:00:00"/>
    <n v="7.1999999999999995E-2"/>
    <n v="24.486301369863014"/>
    <n v="315.25"/>
  </r>
  <r>
    <n v="100545"/>
    <x v="1"/>
    <x v="6"/>
    <x v="0"/>
    <x v="545"/>
    <n v="81296"/>
    <n v="405119"/>
    <n v="3898"/>
    <n v="7"/>
    <d v="2023-07-07T00:00:00"/>
    <n v="0.20069999999999999"/>
    <n v="9.6218641929902073"/>
    <n v="11613.714285714286"/>
  </r>
  <r>
    <n v="100546"/>
    <x v="2"/>
    <x v="0"/>
    <x v="1"/>
    <x v="546"/>
    <n v="12265"/>
    <n v="775132"/>
    <n v="1821"/>
    <n v="6"/>
    <d v="2023-07-07T00:00:00"/>
    <n v="1.5800000000000002E-2"/>
    <n v="2.3492772843851113"/>
    <n v="2044.1666666666667"/>
  </r>
  <r>
    <n v="100547"/>
    <x v="2"/>
    <x v="1"/>
    <x v="1"/>
    <x v="547"/>
    <n v="47808"/>
    <n v="48241"/>
    <n v="4542"/>
    <n v="22"/>
    <d v="2023-07-24T00:00:00"/>
    <n v="0.99099999999999999"/>
    <n v="94.152277108683492"/>
    <n v="2173.090909090909"/>
  </r>
  <r>
    <n v="100548"/>
    <x v="0"/>
    <x v="6"/>
    <x v="0"/>
    <x v="548"/>
    <n v="59643"/>
    <n v="343979"/>
    <n v="2336"/>
    <n v="13"/>
    <d v="2023-07-16T00:00:00"/>
    <n v="0.1734"/>
    <n v="6.7911122481314274"/>
    <n v="4587.9230769230771"/>
  </r>
  <r>
    <n v="100549"/>
    <x v="1"/>
    <x v="4"/>
    <x v="3"/>
    <x v="549"/>
    <n v="48060"/>
    <n v="278490"/>
    <n v="3316"/>
    <n v="13"/>
    <d v="2023-07-17T00:00:00"/>
    <n v="0.1726"/>
    <n v="11.907070271823045"/>
    <n v="3696.9230769230771"/>
  </r>
  <r>
    <n v="100550"/>
    <x v="1"/>
    <x v="4"/>
    <x v="4"/>
    <x v="550"/>
    <n v="74846"/>
    <n v="557250"/>
    <n v="2218"/>
    <n v="16"/>
    <d v="2023-07-21T00:00:00"/>
    <n v="0.1343"/>
    <n v="3.9802602063705703"/>
    <n v="4677.875"/>
  </r>
  <r>
    <n v="100551"/>
    <x v="2"/>
    <x v="0"/>
    <x v="1"/>
    <x v="551"/>
    <n v="71839"/>
    <n v="567814"/>
    <n v="1674"/>
    <n v="18"/>
    <d v="2023-07-24T00:00:00"/>
    <n v="0.1265"/>
    <n v="2.948148513421649"/>
    <n v="3991.0555555555557"/>
  </r>
  <r>
    <n v="100552"/>
    <x v="2"/>
    <x v="5"/>
    <x v="2"/>
    <x v="552"/>
    <n v="98843"/>
    <n v="393759"/>
    <n v="4625"/>
    <n v="21"/>
    <d v="2023-07-28T00:00:00"/>
    <n v="0.251"/>
    <n v="11.745763271442684"/>
    <n v="4706.8095238095239"/>
  </r>
  <r>
    <n v="100553"/>
    <x v="3"/>
    <x v="5"/>
    <x v="2"/>
    <x v="553"/>
    <n v="41243"/>
    <n v="281866"/>
    <n v="1808"/>
    <n v="16"/>
    <d v="2023-07-24T00:00:00"/>
    <n v="0.14630000000000001"/>
    <n v="6.4143954928937861"/>
    <n v="2577.6875"/>
  </r>
  <r>
    <n v="100554"/>
    <x v="2"/>
    <x v="1"/>
    <x v="3"/>
    <x v="554"/>
    <n v="19255"/>
    <n v="517762"/>
    <n v="1941"/>
    <n v="10"/>
    <d v="2023-07-19T00:00:00"/>
    <n v="3.7199999999999997E-2"/>
    <n v="3.7488266809846995"/>
    <n v="1925.5"/>
  </r>
  <r>
    <n v="100555"/>
    <x v="2"/>
    <x v="2"/>
    <x v="4"/>
    <x v="555"/>
    <n v="1538"/>
    <n v="726968"/>
    <n v="2889"/>
    <n v="23"/>
    <d v="2023-08-02T00:00:00"/>
    <n v="2.0999999999999999E-3"/>
    <n v="3.9740401228114579"/>
    <n v="66.869565217391298"/>
  </r>
  <r>
    <n v="100556"/>
    <x v="2"/>
    <x v="3"/>
    <x v="1"/>
    <x v="556"/>
    <n v="93674"/>
    <n v="965075"/>
    <n v="1279"/>
    <n v="28"/>
    <d v="2023-08-08T00:00:00"/>
    <n v="9.7100000000000006E-2"/>
    <n v="1.3252855995648007"/>
    <n v="3345.5"/>
  </r>
  <r>
    <n v="100557"/>
    <x v="1"/>
    <x v="2"/>
    <x v="0"/>
    <x v="557"/>
    <n v="58114"/>
    <n v="375685"/>
    <n v="877"/>
    <n v="14"/>
    <d v="2023-07-26T00:00:00"/>
    <n v="0.1547"/>
    <n v="2.3344024914489534"/>
    <n v="4151"/>
  </r>
  <r>
    <n v="100558"/>
    <x v="1"/>
    <x v="6"/>
    <x v="4"/>
    <x v="558"/>
    <n v="14930"/>
    <n v="876432"/>
    <n v="3656"/>
    <n v="22"/>
    <d v="2023-08-04T00:00:00"/>
    <n v="1.7000000000000001E-2"/>
    <n v="4.1714588239589609"/>
    <n v="678.63636363636363"/>
  </r>
  <r>
    <n v="100559"/>
    <x v="1"/>
    <x v="3"/>
    <x v="0"/>
    <x v="559"/>
    <n v="19224"/>
    <n v="768805"/>
    <n v="4410"/>
    <n v="20"/>
    <d v="2023-08-03T00:00:00"/>
    <n v="2.5000000000000001E-2"/>
    <n v="5.7361749728474711"/>
    <n v="961.2"/>
  </r>
  <r>
    <n v="100560"/>
    <x v="2"/>
    <x v="3"/>
    <x v="0"/>
    <x v="560"/>
    <n v="13967"/>
    <n v="629165"/>
    <n v="2362"/>
    <n v="20"/>
    <d v="2023-08-04T00:00:00"/>
    <n v="2.2200000000000001E-2"/>
    <n v="3.7541821302837888"/>
    <n v="698.35"/>
  </r>
  <r>
    <n v="100561"/>
    <x v="2"/>
    <x v="2"/>
    <x v="3"/>
    <x v="561"/>
    <n v="52507"/>
    <n v="140029"/>
    <n v="1381"/>
    <n v="14"/>
    <d v="2023-07-30T00:00:00"/>
    <n v="0.375"/>
    <n v="9.8622428211299091"/>
    <n v="3750.5"/>
  </r>
  <r>
    <n v="100562"/>
    <x v="0"/>
    <x v="2"/>
    <x v="0"/>
    <x v="562"/>
    <n v="23097"/>
    <n v="463418"/>
    <n v="3544"/>
    <n v="20"/>
    <d v="2023-08-06T00:00:00"/>
    <n v="4.9799999999999997E-2"/>
    <n v="7.6475234021984475"/>
    <n v="1154.8499999999999"/>
  </r>
  <r>
    <n v="100563"/>
    <x v="1"/>
    <x v="3"/>
    <x v="4"/>
    <x v="563"/>
    <n v="24382"/>
    <n v="813395"/>
    <n v="1462"/>
    <n v="11"/>
    <d v="2023-07-29T00:00:00"/>
    <n v="0.03"/>
    <n v="1.7974047049711395"/>
    <n v="2216.5454545454545"/>
  </r>
  <r>
    <n v="100564"/>
    <x v="1"/>
    <x v="6"/>
    <x v="0"/>
    <x v="564"/>
    <n v="85595"/>
    <n v="680655"/>
    <n v="1395"/>
    <n v="15"/>
    <d v="2023-08-03T00:00:00"/>
    <n v="0.1258"/>
    <n v="2.0494964409282237"/>
    <n v="5706.333333333333"/>
  </r>
  <r>
    <n v="100565"/>
    <x v="1"/>
    <x v="0"/>
    <x v="1"/>
    <x v="565"/>
    <n v="26693"/>
    <n v="88108"/>
    <n v="3582"/>
    <n v="9"/>
    <d v="2023-07-29T00:00:00"/>
    <n v="0.30299999999999999"/>
    <n v="40.65465111000136"/>
    <n v="2965.8888888888887"/>
  </r>
  <r>
    <n v="100566"/>
    <x v="0"/>
    <x v="5"/>
    <x v="1"/>
    <x v="566"/>
    <n v="95788"/>
    <n v="158966"/>
    <n v="4773"/>
    <n v="2"/>
    <d v="2023-07-23T00:00:00"/>
    <n v="0.60260000000000002"/>
    <n v="30.025288426455973"/>
    <n v="47894"/>
  </r>
  <r>
    <n v="100567"/>
    <x v="2"/>
    <x v="1"/>
    <x v="1"/>
    <x v="567"/>
    <n v="45820"/>
    <n v="91064"/>
    <n v="2279"/>
    <n v="23"/>
    <d v="2023-08-14T00:00:00"/>
    <n v="0.50319999999999998"/>
    <n v="25.026355090925062"/>
    <n v="1992.1739130434783"/>
  </r>
  <r>
    <n v="100568"/>
    <x v="2"/>
    <x v="5"/>
    <x v="3"/>
    <x v="568"/>
    <n v="41265"/>
    <n v="895941"/>
    <n v="3157"/>
    <n v="21"/>
    <d v="2023-08-13T00:00:00"/>
    <n v="4.6100000000000002E-2"/>
    <n v="3.5236695273461089"/>
    <n v="1965"/>
  </r>
  <r>
    <n v="100569"/>
    <x v="1"/>
    <x v="1"/>
    <x v="3"/>
    <x v="569"/>
    <n v="51558"/>
    <n v="191328"/>
    <n v="169"/>
    <n v="10"/>
    <d v="2023-08-03T00:00:00"/>
    <n v="0.26950000000000002"/>
    <n v="0.88329988292356576"/>
    <n v="5155.8"/>
  </r>
  <r>
    <n v="100570"/>
    <x v="2"/>
    <x v="2"/>
    <x v="1"/>
    <x v="570"/>
    <n v="17160"/>
    <n v="547473"/>
    <n v="3143"/>
    <n v="8"/>
    <d v="2023-08-02T00:00:00"/>
    <n v="3.1300000000000001E-2"/>
    <n v="5.7409223833869438"/>
    <n v="2145"/>
  </r>
  <r>
    <n v="100571"/>
    <x v="0"/>
    <x v="2"/>
    <x v="4"/>
    <x v="571"/>
    <n v="64897"/>
    <n v="420593"/>
    <n v="542"/>
    <n v="11"/>
    <d v="2023-08-06T00:00:00"/>
    <n v="0.15429999999999999"/>
    <n v="1.2886567299027802"/>
    <n v="5899.727272727273"/>
  </r>
  <r>
    <n v="100572"/>
    <x v="1"/>
    <x v="2"/>
    <x v="0"/>
    <x v="572"/>
    <n v="53108"/>
    <n v="954736"/>
    <n v="4018"/>
    <n v="9"/>
    <d v="2023-08-05T00:00:00"/>
    <n v="5.5599999999999997E-2"/>
    <n v="4.2084932379212683"/>
    <n v="5900.8888888888887"/>
  </r>
  <r>
    <n v="100573"/>
    <x v="0"/>
    <x v="2"/>
    <x v="4"/>
    <x v="573"/>
    <n v="41427"/>
    <n v="12771"/>
    <n v="309"/>
    <n v="2"/>
    <d v="2023-07-30T00:00:00"/>
    <n v="3.2437999999999998"/>
    <n v="24.195442800093964"/>
    <n v="20713.5"/>
  </r>
  <r>
    <n v="100574"/>
    <x v="0"/>
    <x v="0"/>
    <x v="1"/>
    <x v="574"/>
    <n v="27217"/>
    <n v="619080"/>
    <n v="4246"/>
    <n v="12"/>
    <d v="2023-08-10T00:00:00"/>
    <n v="4.3999999999999997E-2"/>
    <n v="6.8585643212508884"/>
    <n v="2268.0833333333335"/>
  </r>
  <r>
    <n v="100575"/>
    <x v="1"/>
    <x v="1"/>
    <x v="4"/>
    <x v="575"/>
    <n v="84439"/>
    <n v="446995"/>
    <n v="2537"/>
    <n v="16"/>
    <d v="2023-08-15T00:00:00"/>
    <n v="0.18890000000000001"/>
    <n v="5.6756786988668777"/>
    <n v="5277.4375"/>
  </r>
  <r>
    <n v="100576"/>
    <x v="3"/>
    <x v="3"/>
    <x v="1"/>
    <x v="576"/>
    <n v="13904"/>
    <n v="383373"/>
    <n v="1666"/>
    <n v="13"/>
    <d v="2023-08-13T00:00:00"/>
    <n v="3.6299999999999999E-2"/>
    <n v="4.3456372775338901"/>
    <n v="1069.5384615384614"/>
  </r>
  <r>
    <n v="100577"/>
    <x v="1"/>
    <x v="0"/>
    <x v="0"/>
    <x v="577"/>
    <n v="153"/>
    <n v="506457"/>
    <n v="1048"/>
    <n v="3"/>
    <d v="2023-08-04T00:00:00"/>
    <n v="2.9999999999999997E-4"/>
    <n v="2.0692773522727497"/>
    <n v="51"/>
  </r>
  <r>
    <n v="100578"/>
    <x v="0"/>
    <x v="3"/>
    <x v="3"/>
    <x v="578"/>
    <n v="74783"/>
    <n v="561448"/>
    <n v="24"/>
    <n v="12"/>
    <d v="2023-08-14T00:00:00"/>
    <n v="0.13320000000000001"/>
    <n v="4.2746612330972773E-2"/>
    <n v="6231.916666666667"/>
  </r>
  <r>
    <n v="100579"/>
    <x v="2"/>
    <x v="0"/>
    <x v="2"/>
    <x v="579"/>
    <n v="22924"/>
    <n v="24419"/>
    <n v="2149"/>
    <n v="3"/>
    <d v="2023-08-06T00:00:00"/>
    <n v="0.93879999999999997"/>
    <n v="88.005241819894351"/>
    <n v="7641.333333333333"/>
  </r>
  <r>
    <n v="100580"/>
    <x v="1"/>
    <x v="0"/>
    <x v="2"/>
    <x v="580"/>
    <n v="53892"/>
    <n v="202663"/>
    <n v="3332"/>
    <n v="2"/>
    <d v="2023-08-06T00:00:00"/>
    <n v="0.26590000000000003"/>
    <n v="16.441086927559542"/>
    <n v="26946"/>
  </r>
  <r>
    <n v="100581"/>
    <x v="1"/>
    <x v="5"/>
    <x v="4"/>
    <x v="581"/>
    <n v="73336"/>
    <n v="209720"/>
    <n v="207"/>
    <n v="12"/>
    <d v="2023-08-17T00:00:00"/>
    <n v="0.34970000000000001"/>
    <n v="0.9870303261491512"/>
    <n v="6111.333333333333"/>
  </r>
  <r>
    <n v="100582"/>
    <x v="2"/>
    <x v="5"/>
    <x v="3"/>
    <x v="582"/>
    <n v="4657"/>
    <n v="422505"/>
    <n v="1291"/>
    <n v="26"/>
    <d v="2023-09-01T00:00:00"/>
    <n v="1.0999999999999999E-2"/>
    <n v="3.0555851410042485"/>
    <n v="179.11538461538461"/>
  </r>
  <r>
    <n v="100583"/>
    <x v="2"/>
    <x v="2"/>
    <x v="4"/>
    <x v="583"/>
    <n v="47711"/>
    <n v="841745"/>
    <n v="4000"/>
    <n v="29"/>
    <d v="2023-09-05T00:00:00"/>
    <n v="5.67E-2"/>
    <n v="4.7520329791088756"/>
    <n v="1645.2068965517242"/>
  </r>
  <r>
    <n v="100584"/>
    <x v="3"/>
    <x v="1"/>
    <x v="4"/>
    <x v="584"/>
    <n v="70975"/>
    <n v="217743"/>
    <n v="1291"/>
    <n v="29"/>
    <d v="2023-09-06T00:00:00"/>
    <n v="0.32600000000000001"/>
    <n v="5.9290080507754555"/>
    <n v="2447.4137931034484"/>
  </r>
  <r>
    <n v="100585"/>
    <x v="1"/>
    <x v="5"/>
    <x v="1"/>
    <x v="585"/>
    <n v="65944"/>
    <n v="306650"/>
    <n v="4502"/>
    <n v="19"/>
    <d v="2023-08-28T00:00:00"/>
    <n v="0.215"/>
    <n v="14.681232675688896"/>
    <n v="3470.7368421052633"/>
  </r>
  <r>
    <n v="100586"/>
    <x v="2"/>
    <x v="1"/>
    <x v="1"/>
    <x v="586"/>
    <n v="13536"/>
    <n v="756349"/>
    <n v="4045"/>
    <n v="8"/>
    <d v="2023-08-18T00:00:00"/>
    <n v="1.7899999999999999E-2"/>
    <n v="5.3480602208768708"/>
    <n v="1692"/>
  </r>
  <r>
    <n v="100587"/>
    <x v="2"/>
    <x v="6"/>
    <x v="0"/>
    <x v="587"/>
    <n v="33537"/>
    <n v="351361"/>
    <n v="2894"/>
    <n v="19"/>
    <d v="2023-08-30T00:00:00"/>
    <n v="9.5399999999999999E-2"/>
    <n v="8.2365430426256765"/>
    <n v="1765.1052631578948"/>
  </r>
  <r>
    <n v="100588"/>
    <x v="2"/>
    <x v="2"/>
    <x v="1"/>
    <x v="588"/>
    <n v="42417"/>
    <n v="593222"/>
    <n v="854"/>
    <n v="16"/>
    <d v="2023-08-28T00:00:00"/>
    <n v="7.1499999999999994E-2"/>
    <n v="1.4395959691312863"/>
    <n v="2651.0625"/>
  </r>
  <r>
    <n v="100589"/>
    <x v="2"/>
    <x v="5"/>
    <x v="0"/>
    <x v="589"/>
    <n v="49724"/>
    <n v="369358"/>
    <n v="2114"/>
    <n v="27"/>
    <d v="2023-09-09T00:00:00"/>
    <n v="0.1346"/>
    <n v="5.7234444630954249"/>
    <n v="1841.6296296296296"/>
  </r>
  <r>
    <n v="100590"/>
    <x v="3"/>
    <x v="2"/>
    <x v="0"/>
    <x v="590"/>
    <n v="59468"/>
    <n v="909729"/>
    <n v="1121"/>
    <n v="21"/>
    <d v="2023-09-04T00:00:00"/>
    <n v="6.54E-2"/>
    <n v="1.2322350941873899"/>
    <n v="2831.8095238095239"/>
  </r>
  <r>
    <n v="100591"/>
    <x v="1"/>
    <x v="0"/>
    <x v="3"/>
    <x v="591"/>
    <n v="91513"/>
    <n v="881012"/>
    <n v="3435"/>
    <n v="6"/>
    <d v="2023-08-21T00:00:00"/>
    <n v="0.10390000000000001"/>
    <n v="3.8989253267832904"/>
    <n v="15252.166666666666"/>
  </r>
  <r>
    <n v="100592"/>
    <x v="2"/>
    <x v="4"/>
    <x v="3"/>
    <x v="592"/>
    <n v="7211"/>
    <n v="322915"/>
    <n v="4637"/>
    <n v="24"/>
    <d v="2023-09-09T00:00:00"/>
    <n v="2.23E-2"/>
    <n v="14.359816050663486"/>
    <n v="300.45833333333331"/>
  </r>
  <r>
    <n v="100593"/>
    <x v="1"/>
    <x v="2"/>
    <x v="1"/>
    <x v="593"/>
    <n v="38968"/>
    <n v="571747"/>
    <n v="2641"/>
    <n v="7"/>
    <d v="2023-08-24T00:00:00"/>
    <n v="6.8199999999999997E-2"/>
    <n v="4.6191759641939525"/>
    <n v="5566.8571428571431"/>
  </r>
  <r>
    <n v="100594"/>
    <x v="2"/>
    <x v="4"/>
    <x v="3"/>
    <x v="594"/>
    <n v="16378"/>
    <n v="710558"/>
    <n v="960"/>
    <n v="26"/>
    <d v="2023-09-13T00:00:00"/>
    <n v="2.3E-2"/>
    <n v="1.3510508642503498"/>
    <n v="629.92307692307691"/>
  </r>
  <r>
    <n v="100595"/>
    <x v="2"/>
    <x v="2"/>
    <x v="1"/>
    <x v="595"/>
    <n v="26266"/>
    <n v="276461"/>
    <n v="459"/>
    <n v="22"/>
    <d v="2023-09-10T00:00:00"/>
    <n v="9.5000000000000001E-2"/>
    <n v="1.6602703455460264"/>
    <n v="1193.909090909091"/>
  </r>
  <r>
    <n v="100596"/>
    <x v="0"/>
    <x v="4"/>
    <x v="0"/>
    <x v="596"/>
    <n v="77518"/>
    <n v="116965"/>
    <n v="3710"/>
    <n v="7"/>
    <d v="2023-08-27T00:00:00"/>
    <n v="0.66269999999999996"/>
    <n v="31.718890266318986"/>
    <n v="11074"/>
  </r>
  <r>
    <n v="100597"/>
    <x v="1"/>
    <x v="3"/>
    <x v="0"/>
    <x v="597"/>
    <n v="1668"/>
    <n v="651616"/>
    <n v="196"/>
    <n v="12"/>
    <d v="2023-09-02T00:00:00"/>
    <n v="2.5999999999999999E-3"/>
    <n v="0.30079064970780334"/>
    <n v="139"/>
  </r>
  <r>
    <n v="100598"/>
    <x v="3"/>
    <x v="1"/>
    <x v="2"/>
    <x v="598"/>
    <n v="49058"/>
    <n v="480171"/>
    <n v="4272"/>
    <n v="20"/>
    <d v="2023-09-11T00:00:00"/>
    <n v="0.1022"/>
    <n v="8.8968305041329039"/>
    <n v="2452.9"/>
  </r>
  <r>
    <n v="100599"/>
    <x v="1"/>
    <x v="6"/>
    <x v="1"/>
    <x v="599"/>
    <n v="93067"/>
    <n v="113157"/>
    <n v="4773"/>
    <n v="3"/>
    <d v="2023-08-26T00:00:00"/>
    <n v="0.82250000000000001"/>
    <n v="42.180333518916193"/>
    <n v="31022.333333333332"/>
  </r>
  <r>
    <n v="100600"/>
    <x v="1"/>
    <x v="3"/>
    <x v="2"/>
    <x v="600"/>
    <n v="21385"/>
    <n v="322673"/>
    <n v="1058"/>
    <n v="23"/>
    <d v="2023-09-16T00:00:00"/>
    <n v="6.6299999999999998E-2"/>
    <n v="3.2788612620206834"/>
    <n v="929.78260869565213"/>
  </r>
  <r>
    <n v="100601"/>
    <x v="0"/>
    <x v="2"/>
    <x v="0"/>
    <x v="601"/>
    <n v="22603"/>
    <n v="205940"/>
    <n v="372"/>
    <n v="29"/>
    <d v="2023-09-23T00:00:00"/>
    <n v="0.10979999999999999"/>
    <n v="1.8063513644750897"/>
    <n v="779.41379310344826"/>
  </r>
  <r>
    <n v="100602"/>
    <x v="3"/>
    <x v="6"/>
    <x v="1"/>
    <x v="602"/>
    <n v="62189"/>
    <n v="950443"/>
    <n v="2657"/>
    <n v="24"/>
    <d v="2023-09-19T00:00:00"/>
    <n v="6.54E-2"/>
    <n v="2.7955385015198178"/>
    <n v="2591.2083333333335"/>
  </r>
  <r>
    <n v="100603"/>
    <x v="0"/>
    <x v="1"/>
    <x v="0"/>
    <x v="603"/>
    <n v="81546"/>
    <n v="60051"/>
    <n v="4959"/>
    <n v="2"/>
    <d v="2023-08-29T00:00:00"/>
    <n v="1.3579000000000001"/>
    <n v="82.579807163910687"/>
    <n v="40773"/>
  </r>
  <r>
    <n v="100604"/>
    <x v="3"/>
    <x v="5"/>
    <x v="0"/>
    <x v="604"/>
    <n v="91088"/>
    <n v="801725"/>
    <n v="1527"/>
    <n v="1"/>
    <d v="2023-08-29T00:00:00"/>
    <n v="0.11360000000000001"/>
    <n v="1.904643113286975"/>
    <n v="91088"/>
  </r>
  <r>
    <n v="100605"/>
    <x v="0"/>
    <x v="0"/>
    <x v="2"/>
    <x v="605"/>
    <n v="47421"/>
    <n v="744351"/>
    <n v="1354"/>
    <n v="25"/>
    <d v="2023-09-23T00:00:00"/>
    <n v="6.3700000000000007E-2"/>
    <n v="1.8190342996785118"/>
    <n v="1896.84"/>
  </r>
  <r>
    <n v="100606"/>
    <x v="0"/>
    <x v="4"/>
    <x v="4"/>
    <x v="606"/>
    <n v="88221"/>
    <n v="13647"/>
    <n v="4597"/>
    <n v="23"/>
    <d v="2023-09-22T00:00:00"/>
    <n v="6.4645000000000001"/>
    <n v="336.8505898732322"/>
    <n v="3835.695652173913"/>
  </r>
  <r>
    <n v="100607"/>
    <x v="2"/>
    <x v="2"/>
    <x v="1"/>
    <x v="607"/>
    <n v="71620"/>
    <n v="94916"/>
    <n v="3483"/>
    <n v="18"/>
    <d v="2023-09-18T00:00:00"/>
    <n v="0.75460000000000005"/>
    <n v="36.695604534535796"/>
    <n v="3978.8888888888887"/>
  </r>
  <r>
    <n v="100608"/>
    <x v="0"/>
    <x v="0"/>
    <x v="0"/>
    <x v="608"/>
    <n v="92814"/>
    <n v="80471"/>
    <n v="262"/>
    <n v="25"/>
    <d v="2023-09-26T00:00:00"/>
    <n v="1.1534"/>
    <n v="3.2558312932609264"/>
    <n v="3712.56"/>
  </r>
  <r>
    <n v="100609"/>
    <x v="1"/>
    <x v="2"/>
    <x v="2"/>
    <x v="609"/>
    <n v="79868"/>
    <n v="757159"/>
    <n v="2806"/>
    <n v="13"/>
    <d v="2023-09-15T00:00:00"/>
    <n v="0.1055"/>
    <n v="3.7059587220121535"/>
    <n v="6143.6923076923076"/>
  </r>
  <r>
    <n v="100610"/>
    <x v="1"/>
    <x v="3"/>
    <x v="4"/>
    <x v="610"/>
    <n v="13835"/>
    <n v="209239"/>
    <n v="2119"/>
    <n v="19"/>
    <d v="2023-09-22T00:00:00"/>
    <n v="6.6100000000000006E-2"/>
    <n v="10.127175144213078"/>
    <n v="728.15789473684208"/>
  </r>
  <r>
    <n v="100611"/>
    <x v="1"/>
    <x v="1"/>
    <x v="0"/>
    <x v="611"/>
    <n v="38054"/>
    <n v="749124"/>
    <n v="770"/>
    <n v="28"/>
    <d v="2023-10-02T00:00:00"/>
    <n v="5.0799999999999998E-2"/>
    <n v="1.0278672155744577"/>
    <n v="1359.0714285714287"/>
  </r>
  <r>
    <n v="100612"/>
    <x v="3"/>
    <x v="4"/>
    <x v="2"/>
    <x v="612"/>
    <n v="86102"/>
    <n v="372591"/>
    <n v="2613"/>
    <n v="25"/>
    <d v="2023-09-30T00:00:00"/>
    <n v="0.2311"/>
    <n v="7.013051845052618"/>
    <n v="3444.08"/>
  </r>
  <r>
    <n v="100613"/>
    <x v="3"/>
    <x v="0"/>
    <x v="4"/>
    <x v="613"/>
    <n v="95974"/>
    <n v="713139"/>
    <n v="4106"/>
    <n v="13"/>
    <d v="2023-09-19T00:00:00"/>
    <n v="0.1346"/>
    <n v="5.7576433205868698"/>
    <n v="7382.6153846153848"/>
  </r>
  <r>
    <n v="100614"/>
    <x v="2"/>
    <x v="3"/>
    <x v="1"/>
    <x v="614"/>
    <n v="71924"/>
    <n v="564056"/>
    <n v="3335"/>
    <n v="5"/>
    <d v="2023-09-12T00:00:00"/>
    <n v="0.1275"/>
    <n v="5.9125335073113314"/>
    <n v="14384.8"/>
  </r>
  <r>
    <n v="100615"/>
    <x v="0"/>
    <x v="1"/>
    <x v="2"/>
    <x v="615"/>
    <n v="39968"/>
    <n v="686234"/>
    <n v="2458"/>
    <n v="15"/>
    <d v="2023-09-23T00:00:00"/>
    <n v="5.8200000000000002E-2"/>
    <n v="3.5818685754421962"/>
    <n v="2664.5333333333333"/>
  </r>
  <r>
    <n v="100616"/>
    <x v="0"/>
    <x v="4"/>
    <x v="3"/>
    <x v="616"/>
    <n v="63054"/>
    <n v="77990"/>
    <n v="1806"/>
    <n v="27"/>
    <d v="2023-10-06T00:00:00"/>
    <n v="0.8085"/>
    <n v="23.156814976279009"/>
    <n v="2335.3333333333335"/>
  </r>
  <r>
    <n v="100617"/>
    <x v="2"/>
    <x v="6"/>
    <x v="1"/>
    <x v="617"/>
    <n v="74591"/>
    <n v="394714"/>
    <n v="821"/>
    <n v="18"/>
    <d v="2023-09-28T00:00:00"/>
    <n v="0.189"/>
    <n v="2.0799870285827207"/>
    <n v="4143.9444444444443"/>
  </r>
  <r>
    <n v="100618"/>
    <x v="2"/>
    <x v="4"/>
    <x v="3"/>
    <x v="618"/>
    <n v="92169"/>
    <n v="844230"/>
    <n v="2849"/>
    <n v="21"/>
    <d v="2023-10-02T00:00:00"/>
    <n v="0.10920000000000001"/>
    <n v="3.3746727787451287"/>
    <n v="4389"/>
  </r>
  <r>
    <n v="100619"/>
    <x v="2"/>
    <x v="0"/>
    <x v="1"/>
    <x v="619"/>
    <n v="2255"/>
    <n v="496534"/>
    <n v="2410"/>
    <n v="3"/>
    <d v="2023-09-15T00:00:00"/>
    <n v="4.4999999999999997E-3"/>
    <n v="4.8536454704008181"/>
    <n v="751.66666666666663"/>
  </r>
  <r>
    <n v="100620"/>
    <x v="0"/>
    <x v="3"/>
    <x v="2"/>
    <x v="620"/>
    <n v="52298"/>
    <n v="19409"/>
    <n v="4487"/>
    <n v="23"/>
    <d v="2023-10-06T00:00:00"/>
    <n v="2.6945000000000001"/>
    <n v="231.18141068576435"/>
    <n v="2273.8260869565215"/>
  </r>
  <r>
    <n v="100621"/>
    <x v="1"/>
    <x v="2"/>
    <x v="2"/>
    <x v="621"/>
    <n v="77720"/>
    <n v="264319"/>
    <n v="3253"/>
    <n v="1"/>
    <d v="2023-09-15T00:00:00"/>
    <n v="0.29399999999999998"/>
    <n v="12.307098619471169"/>
    <n v="77720"/>
  </r>
  <r>
    <n v="100622"/>
    <x v="3"/>
    <x v="5"/>
    <x v="2"/>
    <x v="622"/>
    <n v="34160"/>
    <n v="176292"/>
    <n v="3952"/>
    <n v="19"/>
    <d v="2023-10-04T00:00:00"/>
    <n v="0.1938"/>
    <n v="22.417353027930933"/>
    <n v="1797.8947368421052"/>
  </r>
  <r>
    <n v="100623"/>
    <x v="1"/>
    <x v="2"/>
    <x v="0"/>
    <x v="623"/>
    <n v="43478"/>
    <n v="504582"/>
    <n v="1074"/>
    <n v="20"/>
    <d v="2023-10-06T00:00:00"/>
    <n v="8.6199999999999999E-2"/>
    <n v="2.1284944766162885"/>
    <n v="2173.9"/>
  </r>
  <r>
    <n v="100624"/>
    <x v="3"/>
    <x v="6"/>
    <x v="1"/>
    <x v="624"/>
    <n v="37204"/>
    <n v="438587"/>
    <n v="1975"/>
    <n v="17"/>
    <d v="2023-10-04T00:00:00"/>
    <n v="8.48E-2"/>
    <n v="4.5030974470287539"/>
    <n v="2188.4705882352941"/>
  </r>
  <r>
    <n v="100625"/>
    <x v="1"/>
    <x v="5"/>
    <x v="0"/>
    <x v="625"/>
    <n v="20248"/>
    <n v="980619"/>
    <n v="4282"/>
    <n v="9"/>
    <d v="2023-09-27T00:00:00"/>
    <n v="2.06E-2"/>
    <n v="4.3666296492317604"/>
    <n v="2249.7777777777778"/>
  </r>
  <r>
    <n v="100626"/>
    <x v="0"/>
    <x v="2"/>
    <x v="4"/>
    <x v="626"/>
    <n v="83255"/>
    <n v="322738"/>
    <n v="2473"/>
    <n v="19"/>
    <d v="2023-10-08T00:00:00"/>
    <n v="0.25800000000000001"/>
    <n v="7.6625622021577877"/>
    <n v="4381.8421052631575"/>
  </r>
  <r>
    <n v="100627"/>
    <x v="2"/>
    <x v="5"/>
    <x v="1"/>
    <x v="627"/>
    <n v="88783"/>
    <n v="831942"/>
    <n v="1184"/>
    <n v="5"/>
    <d v="2023-09-25T00:00:00"/>
    <n v="0.1067"/>
    <n v="1.4231761348747869"/>
    <n v="17756.599999999999"/>
  </r>
  <r>
    <n v="100628"/>
    <x v="1"/>
    <x v="3"/>
    <x v="2"/>
    <x v="628"/>
    <n v="94692"/>
    <n v="548977"/>
    <n v="3891"/>
    <n v="12"/>
    <d v="2023-10-03T00:00:00"/>
    <n v="0.17249999999999999"/>
    <n v="7.0877286297968771"/>
    <n v="7891"/>
  </r>
  <r>
    <n v="100629"/>
    <x v="0"/>
    <x v="1"/>
    <x v="3"/>
    <x v="629"/>
    <n v="67979"/>
    <n v="453224"/>
    <n v="1425"/>
    <n v="28"/>
    <d v="2023-10-20T00:00:00"/>
    <n v="0.15"/>
    <n v="3.1441406456851357"/>
    <n v="2427.8214285714284"/>
  </r>
  <r>
    <n v="100630"/>
    <x v="3"/>
    <x v="6"/>
    <x v="3"/>
    <x v="630"/>
    <n v="26570"/>
    <n v="487527"/>
    <n v="1400"/>
    <n v="25"/>
    <d v="2023-10-18T00:00:00"/>
    <n v="5.45E-2"/>
    <n v="2.8716358273490497"/>
    <n v="1062.8"/>
  </r>
  <r>
    <n v="100631"/>
    <x v="0"/>
    <x v="5"/>
    <x v="4"/>
    <x v="631"/>
    <n v="39638"/>
    <n v="819677"/>
    <n v="3096"/>
    <n v="8"/>
    <d v="2023-10-02T00:00:00"/>
    <n v="4.8399999999999999E-2"/>
    <n v="3.7770975640404698"/>
    <n v="4954.75"/>
  </r>
  <r>
    <n v="100632"/>
    <x v="2"/>
    <x v="3"/>
    <x v="1"/>
    <x v="632"/>
    <n v="89865"/>
    <n v="378757"/>
    <n v="2662"/>
    <n v="14"/>
    <d v="2023-10-09T00:00:00"/>
    <n v="0.23730000000000001"/>
    <n v="7.0282529431799281"/>
    <n v="6418.9285714285716"/>
  </r>
  <r>
    <n v="100633"/>
    <x v="2"/>
    <x v="1"/>
    <x v="3"/>
    <x v="633"/>
    <n v="63257"/>
    <n v="498101"/>
    <n v="189"/>
    <n v="23"/>
    <d v="2023-10-19T00:00:00"/>
    <n v="0.127"/>
    <n v="0.37944111736374753"/>
    <n v="2750.304347826087"/>
  </r>
  <r>
    <n v="100634"/>
    <x v="2"/>
    <x v="3"/>
    <x v="1"/>
    <x v="634"/>
    <n v="84029"/>
    <n v="662165"/>
    <n v="4681"/>
    <n v="1"/>
    <d v="2023-09-28T00:00:00"/>
    <n v="0.12690000000000001"/>
    <n v="7.0692350094009804"/>
    <n v="84029"/>
  </r>
  <r>
    <n v="100635"/>
    <x v="2"/>
    <x v="2"/>
    <x v="2"/>
    <x v="635"/>
    <n v="65204"/>
    <n v="493613"/>
    <n v="2795"/>
    <n v="9"/>
    <d v="2023-10-07T00:00:00"/>
    <n v="0.1321"/>
    <n v="5.6623306112278247"/>
    <n v="7244.8888888888887"/>
  </r>
  <r>
    <n v="100636"/>
    <x v="1"/>
    <x v="3"/>
    <x v="1"/>
    <x v="636"/>
    <n v="116"/>
    <n v="624967"/>
    <n v="4174"/>
    <n v="17"/>
    <d v="2023-10-16T00:00:00"/>
    <n v="2.0000000000000001E-4"/>
    <n v="6.6787526381392937"/>
    <n v="6.8235294117647056"/>
  </r>
  <r>
    <n v="100637"/>
    <x v="0"/>
    <x v="1"/>
    <x v="1"/>
    <x v="637"/>
    <n v="53711"/>
    <n v="329891"/>
    <n v="2371"/>
    <n v="15"/>
    <d v="2023-10-15T00:00:00"/>
    <n v="0.1628"/>
    <n v="7.1872224462019272"/>
    <n v="3580.7333333333331"/>
  </r>
  <r>
    <n v="100638"/>
    <x v="0"/>
    <x v="2"/>
    <x v="3"/>
    <x v="638"/>
    <n v="5037"/>
    <n v="308413"/>
    <n v="2288"/>
    <n v="13"/>
    <d v="2023-10-14T00:00:00"/>
    <n v="1.6299999999999999E-2"/>
    <n v="7.4186237285717525"/>
    <n v="387.46153846153845"/>
  </r>
  <r>
    <n v="100639"/>
    <x v="0"/>
    <x v="3"/>
    <x v="4"/>
    <x v="639"/>
    <n v="36077"/>
    <n v="923221"/>
    <n v="3896"/>
    <n v="18"/>
    <d v="2023-10-20T00:00:00"/>
    <n v="3.9100000000000003E-2"/>
    <n v="4.2200079937523087"/>
    <n v="2004.2777777777778"/>
  </r>
  <r>
    <n v="100640"/>
    <x v="0"/>
    <x v="1"/>
    <x v="3"/>
    <x v="640"/>
    <n v="31782"/>
    <n v="574023"/>
    <n v="911"/>
    <n v="17"/>
    <d v="2023-10-20T00:00:00"/>
    <n v="5.5399999999999998E-2"/>
    <n v="1.5870444215649897"/>
    <n v="1869.5294117647059"/>
  </r>
  <r>
    <n v="100641"/>
    <x v="0"/>
    <x v="3"/>
    <x v="3"/>
    <x v="641"/>
    <n v="39843"/>
    <n v="746564"/>
    <n v="3382"/>
    <n v="29"/>
    <d v="2023-11-02T00:00:00"/>
    <n v="5.3400000000000003E-2"/>
    <n v="4.5300871727005321"/>
    <n v="1373.8965517241379"/>
  </r>
  <r>
    <n v="100642"/>
    <x v="2"/>
    <x v="4"/>
    <x v="1"/>
    <x v="642"/>
    <n v="72946"/>
    <n v="935966"/>
    <n v="1105"/>
    <n v="22"/>
    <d v="2023-10-27T00:00:00"/>
    <n v="7.7899999999999997E-2"/>
    <n v="1.1805984405416436"/>
    <n v="3315.7272727272725"/>
  </r>
  <r>
    <n v="100643"/>
    <x v="2"/>
    <x v="1"/>
    <x v="3"/>
    <x v="643"/>
    <n v="26122"/>
    <n v="436973"/>
    <n v="1078"/>
    <n v="13"/>
    <d v="2023-10-19T00:00:00"/>
    <n v="5.9799999999999999E-2"/>
    <n v="2.4669716435569242"/>
    <n v="2009.3846153846155"/>
  </r>
  <r>
    <n v="100644"/>
    <x v="1"/>
    <x v="2"/>
    <x v="2"/>
    <x v="644"/>
    <n v="19094"/>
    <n v="37973"/>
    <n v="4915"/>
    <n v="7"/>
    <d v="2023-10-14T00:00:00"/>
    <n v="0.50280000000000002"/>
    <n v="129.43407157717326"/>
    <n v="2727.7142857142858"/>
  </r>
  <r>
    <n v="100645"/>
    <x v="0"/>
    <x v="6"/>
    <x v="1"/>
    <x v="645"/>
    <n v="17413"/>
    <n v="120682"/>
    <n v="4790"/>
    <n v="16"/>
    <d v="2023-10-24T00:00:00"/>
    <n v="0.14430000000000001"/>
    <n v="39.691088977643723"/>
    <n v="1088.3125"/>
  </r>
  <r>
    <n v="100646"/>
    <x v="2"/>
    <x v="1"/>
    <x v="4"/>
    <x v="646"/>
    <n v="66871"/>
    <n v="486180"/>
    <n v="3393"/>
    <n v="19"/>
    <d v="2023-10-28T00:00:00"/>
    <n v="0.13750000000000001"/>
    <n v="6.978896704924102"/>
    <n v="3519.5263157894738"/>
  </r>
  <r>
    <n v="100647"/>
    <x v="1"/>
    <x v="1"/>
    <x v="0"/>
    <x v="647"/>
    <n v="64672"/>
    <n v="937339"/>
    <n v="2514"/>
    <n v="17"/>
    <d v="2023-10-27T00:00:00"/>
    <n v="6.9000000000000006E-2"/>
    <n v="2.6820605992069035"/>
    <n v="3804.2352941176468"/>
  </r>
  <r>
    <n v="100648"/>
    <x v="1"/>
    <x v="1"/>
    <x v="4"/>
    <x v="648"/>
    <n v="64583"/>
    <n v="764352"/>
    <n v="633"/>
    <n v="21"/>
    <d v="2023-11-01T00:00:00"/>
    <n v="8.4500000000000006E-2"/>
    <n v="0.82815247425270033"/>
    <n v="3075.3809523809523"/>
  </r>
  <r>
    <n v="100649"/>
    <x v="2"/>
    <x v="0"/>
    <x v="3"/>
    <x v="649"/>
    <n v="71458"/>
    <n v="598952"/>
    <n v="3927"/>
    <n v="4"/>
    <d v="2023-10-16T00:00:00"/>
    <n v="0.1193"/>
    <n v="6.5564519360482976"/>
    <n v="17864.5"/>
  </r>
  <r>
    <n v="100650"/>
    <x v="1"/>
    <x v="6"/>
    <x v="0"/>
    <x v="650"/>
    <n v="75451"/>
    <n v="839845"/>
    <n v="2582"/>
    <n v="6"/>
    <d v="2023-10-19T00:00:00"/>
    <n v="8.9800000000000005E-2"/>
    <n v="3.0743768195321755"/>
    <n v="12575.166666666666"/>
  </r>
  <r>
    <n v="100651"/>
    <x v="0"/>
    <x v="1"/>
    <x v="1"/>
    <x v="651"/>
    <n v="52386"/>
    <n v="308168"/>
    <n v="4576"/>
    <n v="4"/>
    <d v="2023-10-18T00:00:00"/>
    <n v="0.17"/>
    <n v="14.849043378936164"/>
    <n v="13096.5"/>
  </r>
  <r>
    <n v="100652"/>
    <x v="1"/>
    <x v="5"/>
    <x v="4"/>
    <x v="652"/>
    <n v="33202"/>
    <n v="647302"/>
    <n v="374"/>
    <n v="21"/>
    <d v="2023-11-05T00:00:00"/>
    <n v="5.1299999999999998E-2"/>
    <n v="0.57778285869655899"/>
    <n v="1581.047619047619"/>
  </r>
  <r>
    <n v="100653"/>
    <x v="2"/>
    <x v="3"/>
    <x v="2"/>
    <x v="653"/>
    <n v="17818"/>
    <n v="875497"/>
    <n v="2324"/>
    <n v="26"/>
    <d v="2023-11-11T00:00:00"/>
    <n v="2.0400000000000001E-2"/>
    <n v="2.6544922484029074"/>
    <n v="685.30769230769226"/>
  </r>
  <r>
    <n v="100654"/>
    <x v="0"/>
    <x v="2"/>
    <x v="4"/>
    <x v="654"/>
    <n v="38813"/>
    <n v="990310"/>
    <n v="695"/>
    <n v="4"/>
    <d v="2023-10-21T00:00:00"/>
    <n v="3.9199999999999999E-2"/>
    <n v="0.70180044632488825"/>
    <n v="9703.25"/>
  </r>
  <r>
    <n v="100655"/>
    <x v="2"/>
    <x v="0"/>
    <x v="4"/>
    <x v="655"/>
    <n v="5199"/>
    <n v="88483"/>
    <n v="4454"/>
    <n v="24"/>
    <d v="2023-11-11T00:00:00"/>
    <n v="5.8799999999999998E-2"/>
    <n v="50.337352937852472"/>
    <n v="216.625"/>
  </r>
  <r>
    <n v="100656"/>
    <x v="0"/>
    <x v="1"/>
    <x v="1"/>
    <x v="656"/>
    <n v="36610"/>
    <n v="473145"/>
    <n v="3926"/>
    <n v="3"/>
    <d v="2023-10-22T00:00:00"/>
    <n v="7.7399999999999997E-2"/>
    <n v="8.2976677339927498"/>
    <n v="12203.333333333334"/>
  </r>
  <r>
    <n v="100657"/>
    <x v="2"/>
    <x v="2"/>
    <x v="0"/>
    <x v="657"/>
    <n v="32878"/>
    <n v="357018"/>
    <n v="2723"/>
    <n v="14"/>
    <d v="2023-11-03T00:00:00"/>
    <n v="9.2100000000000001E-2"/>
    <n v="7.6270664224212785"/>
    <n v="2348.4285714285716"/>
  </r>
  <r>
    <n v="100658"/>
    <x v="1"/>
    <x v="5"/>
    <x v="4"/>
    <x v="658"/>
    <n v="2859"/>
    <n v="129471"/>
    <n v="1878"/>
    <n v="7"/>
    <d v="2023-10-28T00:00:00"/>
    <n v="2.2100000000000002E-2"/>
    <n v="14.505178765901244"/>
    <n v="408.42857142857144"/>
  </r>
  <r>
    <n v="100659"/>
    <x v="2"/>
    <x v="6"/>
    <x v="2"/>
    <x v="659"/>
    <n v="78783"/>
    <n v="618445"/>
    <n v="1930"/>
    <n v="13"/>
    <d v="2023-11-04T00:00:00"/>
    <n v="0.12740000000000001"/>
    <n v="3.1207302185319632"/>
    <n v="6060.2307692307695"/>
  </r>
  <r>
    <n v="100660"/>
    <x v="2"/>
    <x v="5"/>
    <x v="2"/>
    <x v="660"/>
    <n v="26787"/>
    <n v="816211"/>
    <n v="3851"/>
    <n v="14"/>
    <d v="2023-11-06T00:00:00"/>
    <n v="3.2800000000000003E-2"/>
    <n v="4.7181427351505922"/>
    <n v="1913.3571428571429"/>
  </r>
  <r>
    <n v="100661"/>
    <x v="0"/>
    <x v="4"/>
    <x v="3"/>
    <x v="661"/>
    <n v="8826"/>
    <n v="112776"/>
    <n v="4115"/>
    <n v="20"/>
    <d v="2023-11-13T00:00:00"/>
    <n v="7.8299999999999995E-2"/>
    <n v="36.488259913456766"/>
    <n v="441.3"/>
  </r>
  <r>
    <n v="100662"/>
    <x v="2"/>
    <x v="6"/>
    <x v="3"/>
    <x v="662"/>
    <n v="79948"/>
    <n v="511885"/>
    <n v="2760"/>
    <n v="6"/>
    <d v="2023-10-31T00:00:00"/>
    <n v="0.15620000000000001"/>
    <n v="5.3918360569268495"/>
    <n v="13324.666666666666"/>
  </r>
  <r>
    <n v="100663"/>
    <x v="2"/>
    <x v="3"/>
    <x v="2"/>
    <x v="663"/>
    <n v="38689"/>
    <n v="658425"/>
    <n v="3448"/>
    <n v="1"/>
    <d v="2023-10-27T00:00:00"/>
    <n v="5.8799999999999998E-2"/>
    <n v="5.2367391882142993"/>
    <n v="38689"/>
  </r>
  <r>
    <n v="100664"/>
    <x v="2"/>
    <x v="1"/>
    <x v="0"/>
    <x v="664"/>
    <n v="27354"/>
    <n v="635553"/>
    <n v="2713"/>
    <n v="10"/>
    <d v="2023-11-06T00:00:00"/>
    <n v="4.2999999999999997E-2"/>
    <n v="4.2687234581537652"/>
    <n v="2735.4"/>
  </r>
  <r>
    <n v="100665"/>
    <x v="0"/>
    <x v="5"/>
    <x v="4"/>
    <x v="665"/>
    <n v="9855"/>
    <n v="929410"/>
    <n v="4094"/>
    <n v="4"/>
    <d v="2023-11-01T00:00:00"/>
    <n v="1.06E-2"/>
    <n v="4.4049450726805173"/>
    <n v="2463.75"/>
  </r>
  <r>
    <n v="100666"/>
    <x v="0"/>
    <x v="6"/>
    <x v="2"/>
    <x v="666"/>
    <n v="78843"/>
    <n v="268984"/>
    <n v="4293"/>
    <n v="17"/>
    <d v="2023-11-15T00:00:00"/>
    <n v="0.29310000000000003"/>
    <n v="15.960057103768253"/>
    <n v="4637.8235294117649"/>
  </r>
  <r>
    <n v="100667"/>
    <x v="3"/>
    <x v="5"/>
    <x v="2"/>
    <x v="667"/>
    <n v="11621"/>
    <n v="633536"/>
    <n v="1719"/>
    <n v="26"/>
    <d v="2023-11-25T00:00:00"/>
    <n v="1.83E-2"/>
    <n v="2.7133422567936156"/>
    <n v="446.96153846153845"/>
  </r>
  <r>
    <n v="100668"/>
    <x v="2"/>
    <x v="6"/>
    <x v="2"/>
    <x v="668"/>
    <n v="47984"/>
    <n v="772471"/>
    <n v="1124"/>
    <n v="12"/>
    <d v="2023-11-12T00:00:00"/>
    <n v="6.2100000000000002E-2"/>
    <n v="1.4550708052470578"/>
    <n v="3998.6666666666665"/>
  </r>
  <r>
    <n v="100669"/>
    <x v="1"/>
    <x v="0"/>
    <x v="2"/>
    <x v="669"/>
    <n v="2492"/>
    <n v="286806"/>
    <n v="2970"/>
    <n v="18"/>
    <d v="2023-11-19T00:00:00"/>
    <n v="8.6999999999999994E-3"/>
    <n v="10.355431894730236"/>
    <n v="138.44444444444446"/>
  </r>
  <r>
    <n v="100670"/>
    <x v="2"/>
    <x v="4"/>
    <x v="2"/>
    <x v="670"/>
    <n v="61321"/>
    <n v="427231"/>
    <n v="2462"/>
    <n v="8"/>
    <d v="2023-11-10T00:00:00"/>
    <n v="0.14349999999999999"/>
    <n v="5.7626904414707729"/>
    <n v="7665.125"/>
  </r>
  <r>
    <n v="100671"/>
    <x v="1"/>
    <x v="3"/>
    <x v="2"/>
    <x v="671"/>
    <n v="56506"/>
    <n v="319503"/>
    <n v="1934"/>
    <n v="7"/>
    <d v="2023-11-10T00:00:00"/>
    <n v="0.1769"/>
    <n v="6.0531513006137656"/>
    <n v="8072.2857142857147"/>
  </r>
  <r>
    <n v="100672"/>
    <x v="3"/>
    <x v="5"/>
    <x v="1"/>
    <x v="672"/>
    <n v="10041"/>
    <n v="945543"/>
    <n v="1203"/>
    <n v="16"/>
    <d v="2023-11-20T00:00:00"/>
    <n v="1.06E-2"/>
    <n v="1.2722848141226788"/>
    <n v="627.5625"/>
  </r>
  <r>
    <n v="100673"/>
    <x v="0"/>
    <x v="0"/>
    <x v="4"/>
    <x v="673"/>
    <n v="70444"/>
    <n v="451367"/>
    <n v="171"/>
    <n v="23"/>
    <d v="2023-11-28T00:00:00"/>
    <n v="0.15609999999999999"/>
    <n v="0.37884914049985929"/>
    <n v="3062.782608695652"/>
  </r>
  <r>
    <n v="100674"/>
    <x v="1"/>
    <x v="3"/>
    <x v="1"/>
    <x v="674"/>
    <n v="43497"/>
    <n v="518351"/>
    <n v="3734"/>
    <n v="13"/>
    <d v="2023-11-19T00:00:00"/>
    <n v="8.3900000000000002E-2"/>
    <n v="7.2036129958271511"/>
    <n v="3345.9230769230771"/>
  </r>
  <r>
    <n v="100675"/>
    <x v="2"/>
    <x v="6"/>
    <x v="3"/>
    <x v="675"/>
    <n v="12921"/>
    <n v="436110"/>
    <n v="3101"/>
    <n v="5"/>
    <d v="2023-11-12T00:00:00"/>
    <n v="2.9600000000000001E-2"/>
    <n v="7.1105913645639864"/>
    <n v="2584.1999999999998"/>
  </r>
  <r>
    <n v="100676"/>
    <x v="3"/>
    <x v="4"/>
    <x v="1"/>
    <x v="676"/>
    <n v="89779"/>
    <n v="15069"/>
    <n v="403"/>
    <n v="21"/>
    <d v="2023-11-29T00:00:00"/>
    <n v="5.9579000000000004"/>
    <n v="26.74364589554715"/>
    <n v="4275.1904761904761"/>
  </r>
  <r>
    <n v="100677"/>
    <x v="1"/>
    <x v="1"/>
    <x v="4"/>
    <x v="677"/>
    <n v="53581"/>
    <n v="88386"/>
    <n v="3931"/>
    <n v="29"/>
    <d v="2023-12-08T00:00:00"/>
    <n v="0.60619999999999996"/>
    <n v="44.475369402394044"/>
    <n v="1847.6206896551723"/>
  </r>
  <r>
    <n v="100678"/>
    <x v="2"/>
    <x v="2"/>
    <x v="3"/>
    <x v="678"/>
    <n v="87450"/>
    <n v="16100"/>
    <n v="373"/>
    <n v="7"/>
    <d v="2023-11-17T00:00:00"/>
    <n v="5.4317000000000002"/>
    <n v="23.167701863354036"/>
    <n v="12492.857142857143"/>
  </r>
  <r>
    <n v="100679"/>
    <x v="2"/>
    <x v="0"/>
    <x v="2"/>
    <x v="679"/>
    <n v="58314"/>
    <n v="154027"/>
    <n v="4913"/>
    <n v="13"/>
    <d v="2023-11-24T00:00:00"/>
    <n v="0.37859999999999999"/>
    <n v="31.897005070539581"/>
    <n v="4485.6923076923076"/>
  </r>
  <r>
    <n v="100680"/>
    <x v="2"/>
    <x v="5"/>
    <x v="1"/>
    <x v="680"/>
    <n v="90567"/>
    <n v="447275"/>
    <n v="2713"/>
    <n v="23"/>
    <d v="2023-12-05T00:00:00"/>
    <n v="0.20250000000000001"/>
    <n v="6.0656195852663348"/>
    <n v="3937.695652173913"/>
  </r>
  <r>
    <n v="100681"/>
    <x v="2"/>
    <x v="3"/>
    <x v="1"/>
    <x v="681"/>
    <n v="52098"/>
    <n v="959483"/>
    <n v="929"/>
    <n v="19"/>
    <d v="2023-12-02T00:00:00"/>
    <n v="5.4300000000000001E-2"/>
    <n v="0.96822976540491079"/>
    <n v="2742"/>
  </r>
  <r>
    <n v="100682"/>
    <x v="2"/>
    <x v="2"/>
    <x v="3"/>
    <x v="682"/>
    <n v="45897"/>
    <n v="617278"/>
    <n v="4681"/>
    <n v="15"/>
    <d v="2023-11-29T00:00:00"/>
    <n v="7.4399999999999994E-2"/>
    <n v="7.583293102945512"/>
    <n v="3059.8"/>
  </r>
  <r>
    <n v="100683"/>
    <x v="1"/>
    <x v="6"/>
    <x v="4"/>
    <x v="683"/>
    <n v="96933"/>
    <n v="669930"/>
    <n v="4463"/>
    <n v="6"/>
    <d v="2023-11-21T00:00:00"/>
    <n v="0.1447"/>
    <n v="6.6618900482139924"/>
    <n v="16155.5"/>
  </r>
  <r>
    <n v="100684"/>
    <x v="1"/>
    <x v="4"/>
    <x v="0"/>
    <x v="684"/>
    <n v="204"/>
    <n v="925032"/>
    <n v="3030"/>
    <n v="10"/>
    <d v="2023-11-26T00:00:00"/>
    <n v="2.0000000000000001E-4"/>
    <n v="3.275562358923799"/>
    <n v="20.399999999999999"/>
  </r>
  <r>
    <n v="100685"/>
    <x v="2"/>
    <x v="3"/>
    <x v="0"/>
    <x v="685"/>
    <n v="73846"/>
    <n v="605780"/>
    <n v="326"/>
    <n v="15"/>
    <d v="2023-12-02T00:00:00"/>
    <n v="0.12189999999999999"/>
    <n v="0.53814916306249794"/>
    <n v="4923.0666666666666"/>
  </r>
  <r>
    <n v="100686"/>
    <x v="1"/>
    <x v="5"/>
    <x v="1"/>
    <x v="686"/>
    <n v="59391"/>
    <n v="401179"/>
    <n v="545"/>
    <n v="1"/>
    <d v="2023-11-19T00:00:00"/>
    <n v="0.14799999999999999"/>
    <n v="1.3584958335306685"/>
    <n v="59391"/>
  </r>
  <r>
    <n v="100687"/>
    <x v="3"/>
    <x v="1"/>
    <x v="4"/>
    <x v="687"/>
    <n v="16867"/>
    <n v="564531"/>
    <n v="2855"/>
    <n v="27"/>
    <d v="2023-12-16T00:00:00"/>
    <n v="2.9899999999999999E-2"/>
    <n v="5.0572953478196947"/>
    <n v="624.7037037037037"/>
  </r>
  <r>
    <n v="100688"/>
    <x v="0"/>
    <x v="1"/>
    <x v="2"/>
    <x v="688"/>
    <n v="51380"/>
    <n v="902542"/>
    <n v="2563"/>
    <n v="29"/>
    <d v="2023-12-19T00:00:00"/>
    <n v="5.6899999999999999E-2"/>
    <n v="2.8397570417775571"/>
    <n v="1771.7241379310344"/>
  </r>
  <r>
    <n v="100689"/>
    <x v="1"/>
    <x v="3"/>
    <x v="2"/>
    <x v="689"/>
    <n v="28925"/>
    <n v="375700"/>
    <n v="2035"/>
    <n v="12"/>
    <d v="2023-12-03T00:00:00"/>
    <n v="7.6999999999999999E-2"/>
    <n v="5.4165557625765235"/>
    <n v="2410.4166666666665"/>
  </r>
  <r>
    <n v="100690"/>
    <x v="2"/>
    <x v="2"/>
    <x v="2"/>
    <x v="690"/>
    <n v="453"/>
    <n v="354128"/>
    <n v="3233"/>
    <n v="7"/>
    <d v="2023-11-29T00:00:00"/>
    <n v="1.2999999999999999E-3"/>
    <n v="9.1294673112546878"/>
    <n v="64.714285714285708"/>
  </r>
  <r>
    <n v="100691"/>
    <x v="0"/>
    <x v="1"/>
    <x v="2"/>
    <x v="691"/>
    <n v="53583"/>
    <n v="130869"/>
    <n v="1773"/>
    <n v="18"/>
    <d v="2023-12-11T00:00:00"/>
    <n v="0.40939999999999999"/>
    <n v="13.54789904408225"/>
    <n v="2976.8333333333335"/>
  </r>
  <r>
    <n v="100692"/>
    <x v="2"/>
    <x v="6"/>
    <x v="4"/>
    <x v="692"/>
    <n v="25676"/>
    <n v="87823"/>
    <n v="3657"/>
    <n v="15"/>
    <d v="2023-12-09T00:00:00"/>
    <n v="0.29239999999999999"/>
    <n v="41.640572515172565"/>
    <n v="1711.7333333333333"/>
  </r>
  <r>
    <n v="100693"/>
    <x v="2"/>
    <x v="2"/>
    <x v="2"/>
    <x v="693"/>
    <n v="79755"/>
    <n v="547069"/>
    <n v="2742"/>
    <n v="13"/>
    <d v="2023-12-08T00:00:00"/>
    <n v="0.14580000000000001"/>
    <n v="5.0121648274714889"/>
    <n v="6135"/>
  </r>
  <r>
    <n v="100694"/>
    <x v="3"/>
    <x v="0"/>
    <x v="0"/>
    <x v="694"/>
    <n v="36702"/>
    <n v="155368"/>
    <n v="398"/>
    <n v="14"/>
    <d v="2023-12-10T00:00:00"/>
    <n v="0.23619999999999999"/>
    <n v="2.5616600586993461"/>
    <n v="2621.5714285714284"/>
  </r>
  <r>
    <n v="100695"/>
    <x v="1"/>
    <x v="4"/>
    <x v="3"/>
    <x v="695"/>
    <n v="31657"/>
    <n v="771008"/>
    <n v="2660"/>
    <n v="23"/>
    <d v="2023-12-20T00:00:00"/>
    <n v="4.1099999999999998E-2"/>
    <n v="3.4500290528762347"/>
    <n v="1376.391304347826"/>
  </r>
  <r>
    <n v="100696"/>
    <x v="0"/>
    <x v="0"/>
    <x v="0"/>
    <x v="696"/>
    <n v="4810"/>
    <n v="662195"/>
    <n v="4615"/>
    <n v="14"/>
    <d v="2023-12-12T00:00:00"/>
    <n v="7.3000000000000001E-3"/>
    <n v="6.9692462190140372"/>
    <n v="343.57142857142856"/>
  </r>
  <r>
    <n v="100697"/>
    <x v="1"/>
    <x v="1"/>
    <x v="4"/>
    <x v="697"/>
    <n v="1953"/>
    <n v="483766"/>
    <n v="242"/>
    <n v="6"/>
    <d v="2023-12-05T00:00:00"/>
    <n v="4.0000000000000001E-3"/>
    <n v="0.50024185246586161"/>
    <n v="325.5"/>
  </r>
  <r>
    <n v="100698"/>
    <x v="1"/>
    <x v="6"/>
    <x v="2"/>
    <x v="698"/>
    <n v="3263"/>
    <n v="898416"/>
    <n v="4821"/>
    <n v="1"/>
    <d v="2023-12-01T00:00:00"/>
    <n v="3.5999999999999999E-3"/>
    <n v="5.3661110220655024"/>
    <n v="3263"/>
  </r>
  <r>
    <n v="100699"/>
    <x v="2"/>
    <x v="4"/>
    <x v="0"/>
    <x v="699"/>
    <n v="36469"/>
    <n v="873337"/>
    <n v="1421"/>
    <n v="6"/>
    <d v="2023-12-07T00:00:00"/>
    <n v="4.1799999999999997E-2"/>
    <n v="1.6270924053372293"/>
    <n v="6078.166666666667"/>
  </r>
  <r>
    <n v="100700"/>
    <x v="2"/>
    <x v="4"/>
    <x v="3"/>
    <x v="700"/>
    <n v="24633"/>
    <n v="243063"/>
    <n v="1953"/>
    <n v="28"/>
    <d v="2023-12-30T00:00:00"/>
    <n v="0.1013"/>
    <n v="8.0349539008405237"/>
    <n v="879.75"/>
  </r>
  <r>
    <n v="100701"/>
    <x v="2"/>
    <x v="5"/>
    <x v="2"/>
    <x v="701"/>
    <n v="95715"/>
    <n v="335165"/>
    <n v="1916"/>
    <n v="25"/>
    <d v="2023-12-28T00:00:00"/>
    <n v="0.28560000000000002"/>
    <n v="5.7165873524980233"/>
    <n v="3828.6"/>
  </r>
  <r>
    <n v="100702"/>
    <x v="2"/>
    <x v="5"/>
    <x v="4"/>
    <x v="702"/>
    <n v="55081"/>
    <n v="831105"/>
    <n v="3773"/>
    <n v="15"/>
    <d v="2023-12-19T00:00:00"/>
    <n v="6.6299999999999998E-2"/>
    <n v="4.5397392627886974"/>
    <n v="3672.0666666666666"/>
  </r>
  <r>
    <n v="100703"/>
    <x v="0"/>
    <x v="0"/>
    <x v="2"/>
    <x v="703"/>
    <n v="62228"/>
    <n v="700184"/>
    <n v="3739"/>
    <n v="6"/>
    <d v="2023-12-11T00:00:00"/>
    <n v="8.8900000000000007E-2"/>
    <n v="5.3400249077385373"/>
    <n v="10371.333333333334"/>
  </r>
  <r>
    <n v="100704"/>
    <x v="2"/>
    <x v="1"/>
    <x v="4"/>
    <x v="704"/>
    <n v="8016"/>
    <n v="269862"/>
    <n v="4453"/>
    <n v="25"/>
    <d v="2023-12-31T00:00:00"/>
    <n v="2.9700000000000001E-2"/>
    <n v="16.501026450556211"/>
    <n v="320.64"/>
  </r>
  <r>
    <n v="100705"/>
    <x v="1"/>
    <x v="3"/>
    <x v="4"/>
    <x v="705"/>
    <n v="7320"/>
    <n v="17685"/>
    <n v="3716"/>
    <n v="19"/>
    <d v="2023-12-26T00:00:00"/>
    <n v="0.41389999999999999"/>
    <n v="210.12157195363301"/>
    <n v="385.26315789473682"/>
  </r>
  <r>
    <n v="100706"/>
    <x v="0"/>
    <x v="2"/>
    <x v="3"/>
    <x v="706"/>
    <n v="34730"/>
    <n v="677124"/>
    <n v="334"/>
    <n v="3"/>
    <d v="2023-12-11T00:00:00"/>
    <n v="5.1299999999999998E-2"/>
    <n v="0.49326268157678649"/>
    <n v="11576.666666666666"/>
  </r>
  <r>
    <n v="100707"/>
    <x v="0"/>
    <x v="0"/>
    <x v="2"/>
    <x v="707"/>
    <n v="97762"/>
    <n v="246719"/>
    <n v="2198"/>
    <n v="25"/>
    <d v="2024-01-03T00:00:00"/>
    <n v="0.3962"/>
    <n v="8.9089206749378835"/>
    <n v="3910.48"/>
  </r>
  <r>
    <n v="100708"/>
    <x v="1"/>
    <x v="5"/>
    <x v="0"/>
    <x v="708"/>
    <n v="31694"/>
    <n v="93420"/>
    <n v="2208"/>
    <n v="2"/>
    <d v="2023-12-12T00:00:00"/>
    <n v="0.33929999999999999"/>
    <n v="23.63519588953115"/>
    <n v="15847"/>
  </r>
  <r>
    <n v="100709"/>
    <x v="1"/>
    <x v="1"/>
    <x v="0"/>
    <x v="709"/>
    <n v="12671"/>
    <n v="282511"/>
    <n v="4909"/>
    <n v="6"/>
    <d v="2023-12-17T00:00:00"/>
    <n v="4.4900000000000002E-2"/>
    <n v="17.376314550583871"/>
    <n v="2111.8333333333335"/>
  </r>
  <r>
    <n v="100710"/>
    <x v="3"/>
    <x v="5"/>
    <x v="3"/>
    <x v="710"/>
    <n v="57561"/>
    <n v="315178"/>
    <n v="3395"/>
    <n v="21"/>
    <d v="2024-01-02T00:00:00"/>
    <n v="0.18260000000000001"/>
    <n v="10.771690917513277"/>
    <n v="2741"/>
  </r>
  <r>
    <n v="100711"/>
    <x v="1"/>
    <x v="6"/>
    <x v="0"/>
    <x v="711"/>
    <n v="80514"/>
    <n v="212879"/>
    <n v="2263"/>
    <n v="12"/>
    <d v="2023-12-25T00:00:00"/>
    <n v="0.37819999999999998"/>
    <n v="10.630452040830708"/>
    <n v="6709.5"/>
  </r>
  <r>
    <n v="100712"/>
    <x v="0"/>
    <x v="2"/>
    <x v="2"/>
    <x v="712"/>
    <n v="51168"/>
    <n v="274880"/>
    <n v="613"/>
    <n v="19"/>
    <d v="2024-01-02T00:00:00"/>
    <n v="0.18609999999999999"/>
    <n v="2.2300640279394646"/>
    <n v="2693.0526315789475"/>
  </r>
  <r>
    <n v="100713"/>
    <x v="3"/>
    <x v="5"/>
    <x v="0"/>
    <x v="713"/>
    <n v="63473"/>
    <n v="374768"/>
    <n v="1575"/>
    <n v="27"/>
    <d v="2024-01-11T00:00:00"/>
    <n v="0.1694"/>
    <n v="4.2026000085386155"/>
    <n v="2350.8518518518517"/>
  </r>
  <r>
    <n v="100714"/>
    <x v="0"/>
    <x v="5"/>
    <x v="1"/>
    <x v="714"/>
    <n v="86072"/>
    <n v="616044"/>
    <n v="2690"/>
    <n v="3"/>
    <d v="2023-12-19T00:00:00"/>
    <n v="0.13969999999999999"/>
    <n v="4.3665712189389065"/>
    <n v="28690.666666666668"/>
  </r>
  <r>
    <n v="100715"/>
    <x v="2"/>
    <x v="4"/>
    <x v="0"/>
    <x v="715"/>
    <n v="12995"/>
    <n v="306050"/>
    <n v="784"/>
    <n v="2"/>
    <d v="2023-12-19T00:00:00"/>
    <n v="4.2500000000000003E-2"/>
    <n v="2.5616729292599247"/>
    <n v="6497.5"/>
  </r>
  <r>
    <n v="100716"/>
    <x v="1"/>
    <x v="0"/>
    <x v="3"/>
    <x v="716"/>
    <n v="60553"/>
    <n v="230089"/>
    <n v="4093"/>
    <n v="12"/>
    <d v="2023-12-30T00:00:00"/>
    <n v="0.26319999999999999"/>
    <n v="17.78876869385325"/>
    <n v="5046.083333333333"/>
  </r>
  <r>
    <n v="100717"/>
    <x v="2"/>
    <x v="3"/>
    <x v="1"/>
    <x v="717"/>
    <n v="71336"/>
    <n v="923626"/>
    <n v="949"/>
    <n v="19"/>
    <d v="2024-01-07T00:00:00"/>
    <n v="7.7200000000000005E-2"/>
    <n v="1.0274721586442996"/>
    <n v="3754.5263157894738"/>
  </r>
  <r>
    <n v="100718"/>
    <x v="1"/>
    <x v="3"/>
    <x v="1"/>
    <x v="718"/>
    <n v="9488"/>
    <n v="876964"/>
    <n v="2498"/>
    <n v="25"/>
    <d v="2024-01-14T00:00:00"/>
    <n v="1.0800000000000001E-2"/>
    <n v="2.8484635629284667"/>
    <n v="379.52"/>
  </r>
  <r>
    <n v="100719"/>
    <x v="3"/>
    <x v="1"/>
    <x v="2"/>
    <x v="719"/>
    <n v="72763"/>
    <n v="554482"/>
    <n v="4163"/>
    <n v="13"/>
    <d v="2024-01-03T00:00:00"/>
    <n v="0.13120000000000001"/>
    <n v="7.5079082819640677"/>
    <n v="5597.1538461538457"/>
  </r>
  <r>
    <n v="100720"/>
    <x v="1"/>
    <x v="2"/>
    <x v="2"/>
    <x v="720"/>
    <n v="59942"/>
    <n v="275728"/>
    <n v="2895"/>
    <n v="20"/>
    <d v="2024-01-11T00:00:00"/>
    <n v="0.21740000000000001"/>
    <n v="10.499477746184645"/>
    <n v="2997.1"/>
  </r>
  <r>
    <n v="100721"/>
    <x v="1"/>
    <x v="6"/>
    <x v="3"/>
    <x v="721"/>
    <n v="87100"/>
    <n v="497754"/>
    <n v="2457"/>
    <n v="22"/>
    <d v="2024-01-14T00:00:00"/>
    <n v="0.17499999999999999"/>
    <n v="4.9361732904205686"/>
    <n v="3959.090909090909"/>
  </r>
  <r>
    <n v="100722"/>
    <x v="2"/>
    <x v="0"/>
    <x v="0"/>
    <x v="722"/>
    <n v="91875"/>
    <n v="797340"/>
    <n v="1559"/>
    <n v="7"/>
    <d v="2023-12-31T00:00:00"/>
    <n v="0.1152"/>
    <n v="1.9552512102741617"/>
    <n v="13125"/>
  </r>
  <r>
    <n v="100723"/>
    <x v="3"/>
    <x v="3"/>
    <x v="0"/>
    <x v="723"/>
    <n v="52999"/>
    <n v="444938"/>
    <n v="146"/>
    <n v="12"/>
    <d v="2024-01-06T00:00:00"/>
    <n v="0.1191"/>
    <n v="0.32813560541019199"/>
    <n v="4416.583333333333"/>
  </r>
  <r>
    <n v="100724"/>
    <x v="2"/>
    <x v="0"/>
    <x v="3"/>
    <x v="724"/>
    <n v="1013"/>
    <n v="926488"/>
    <n v="2588"/>
    <n v="17"/>
    <d v="2024-01-12T00:00:00"/>
    <n v="1.1000000000000001E-3"/>
    <n v="2.7933443282589736"/>
    <n v="59.588235294117645"/>
  </r>
  <r>
    <n v="100725"/>
    <x v="2"/>
    <x v="1"/>
    <x v="4"/>
    <x v="725"/>
    <n v="9062"/>
    <n v="348129"/>
    <n v="4222"/>
    <n v="1"/>
    <d v="2023-12-28T00:00:00"/>
    <n v="2.5999999999999999E-2"/>
    <n v="12.127688299452213"/>
    <n v="9062"/>
  </r>
  <r>
    <n v="100726"/>
    <x v="2"/>
    <x v="2"/>
    <x v="2"/>
    <x v="726"/>
    <n v="50465"/>
    <n v="967771"/>
    <n v="3534"/>
    <n v="19"/>
    <d v="2024-01-16T00:00:00"/>
    <n v="5.21E-2"/>
    <n v="3.6516903275671622"/>
    <n v="2656.0526315789475"/>
  </r>
  <r>
    <n v="100727"/>
    <x v="2"/>
    <x v="3"/>
    <x v="4"/>
    <x v="727"/>
    <n v="38157"/>
    <n v="368675"/>
    <n v="1587"/>
    <n v="24"/>
    <d v="2024-01-22T00:00:00"/>
    <n v="0.10349999999999999"/>
    <n v="4.3046043263036555"/>
    <n v="1589.875"/>
  </r>
  <r>
    <n v="100728"/>
    <x v="1"/>
    <x v="1"/>
    <x v="4"/>
    <x v="728"/>
    <n v="85788"/>
    <n v="131536"/>
    <n v="4217"/>
    <n v="9"/>
    <d v="2024-01-08T00:00:00"/>
    <n v="0.6522"/>
    <n v="32.05966427441917"/>
    <n v="9532"/>
  </r>
  <r>
    <n v="100729"/>
    <x v="1"/>
    <x v="0"/>
    <x v="3"/>
    <x v="729"/>
    <n v="50914"/>
    <n v="629123"/>
    <n v="1113"/>
    <n v="16"/>
    <d v="2024-01-16T00:00:00"/>
    <n v="8.09E-2"/>
    <n v="1.7691294071270642"/>
    <n v="3182.125"/>
  </r>
  <r>
    <n v="100730"/>
    <x v="2"/>
    <x v="6"/>
    <x v="4"/>
    <x v="730"/>
    <n v="97937"/>
    <n v="508623"/>
    <n v="2565"/>
    <n v="9"/>
    <d v="2024-01-10T00:00:00"/>
    <n v="0.19259999999999999"/>
    <n v="5.0430279401442721"/>
    <n v="10881.888888888889"/>
  </r>
  <r>
    <n v="100731"/>
    <x v="2"/>
    <x v="2"/>
    <x v="1"/>
    <x v="731"/>
    <n v="76824"/>
    <n v="583151"/>
    <n v="311"/>
    <n v="9"/>
    <d v="2024-01-11T00:00:00"/>
    <n v="0.13170000000000001"/>
    <n v="0.53330955447216932"/>
    <n v="8536"/>
  </r>
  <r>
    <n v="100732"/>
    <x v="2"/>
    <x v="2"/>
    <x v="1"/>
    <x v="732"/>
    <n v="1299"/>
    <n v="366706"/>
    <n v="4595"/>
    <n v="20"/>
    <d v="2024-01-23T00:00:00"/>
    <n v="3.5000000000000001E-3"/>
    <n v="12.530474003697785"/>
    <n v="64.95"/>
  </r>
  <r>
    <n v="100733"/>
    <x v="2"/>
    <x v="6"/>
    <x v="4"/>
    <x v="733"/>
    <n v="65442"/>
    <n v="146362"/>
    <n v="1929"/>
    <n v="15"/>
    <d v="2024-01-19T00:00:00"/>
    <n v="0.4471"/>
    <n v="13.179650455719379"/>
    <n v="4362.8"/>
  </r>
  <r>
    <n v="100734"/>
    <x v="2"/>
    <x v="4"/>
    <x v="0"/>
    <x v="734"/>
    <n v="92170"/>
    <n v="713477"/>
    <n v="4966"/>
    <n v="14"/>
    <d v="2024-01-19T00:00:00"/>
    <n v="0.12920000000000001"/>
    <n v="6.9602804295022827"/>
    <n v="6583.5714285714284"/>
  </r>
  <r>
    <n v="100735"/>
    <x v="1"/>
    <x v="6"/>
    <x v="2"/>
    <x v="735"/>
    <n v="41933"/>
    <n v="400702"/>
    <n v="4707"/>
    <n v="17"/>
    <d v="2024-01-23T00:00:00"/>
    <n v="0.1046"/>
    <n v="11.746884218197064"/>
    <n v="2466.6470588235293"/>
  </r>
  <r>
    <n v="100736"/>
    <x v="2"/>
    <x v="6"/>
    <x v="3"/>
    <x v="736"/>
    <n v="25115"/>
    <n v="623017"/>
    <n v="1310"/>
    <n v="5"/>
    <d v="2024-01-12T00:00:00"/>
    <n v="4.0300000000000002E-2"/>
    <n v="2.1026713556772929"/>
    <n v="5023"/>
  </r>
  <r>
    <n v="100737"/>
    <x v="2"/>
    <x v="5"/>
    <x v="4"/>
    <x v="737"/>
    <n v="63714"/>
    <n v="277937"/>
    <n v="2210"/>
    <n v="29"/>
    <d v="2024-02-06T00:00:00"/>
    <n v="0.22919999999999999"/>
    <n v="7.9514422333118659"/>
    <n v="2197.0344827586205"/>
  </r>
  <r>
    <n v="100738"/>
    <x v="2"/>
    <x v="6"/>
    <x v="1"/>
    <x v="738"/>
    <n v="55474"/>
    <n v="518170"/>
    <n v="4880"/>
    <n v="7"/>
    <d v="2024-01-16T00:00:00"/>
    <n v="0.1071"/>
    <n v="9.4177586506358928"/>
    <n v="7924.8571428571431"/>
  </r>
  <r>
    <n v="100739"/>
    <x v="1"/>
    <x v="1"/>
    <x v="1"/>
    <x v="739"/>
    <n v="18452"/>
    <n v="491436"/>
    <n v="4284"/>
    <n v="3"/>
    <d v="2024-01-13T00:00:00"/>
    <n v="3.7499999999999999E-2"/>
    <n v="8.7173100871731002"/>
    <n v="6150.666666666667"/>
  </r>
  <r>
    <n v="100740"/>
    <x v="2"/>
    <x v="3"/>
    <x v="1"/>
    <x v="740"/>
    <n v="18596"/>
    <n v="86376"/>
    <n v="3842"/>
    <n v="12"/>
    <d v="2024-01-23T00:00:00"/>
    <n v="0.21529999999999999"/>
    <n v="44.479948133740855"/>
    <n v="1549.6666666666667"/>
  </r>
  <r>
    <n v="100741"/>
    <x v="2"/>
    <x v="2"/>
    <x v="1"/>
    <x v="741"/>
    <n v="71431"/>
    <n v="493004"/>
    <n v="2838"/>
    <n v="19"/>
    <d v="2024-01-31T00:00:00"/>
    <n v="0.1449"/>
    <n v="5.7565455858370314"/>
    <n v="3759.5263157894738"/>
  </r>
  <r>
    <n v="100742"/>
    <x v="0"/>
    <x v="4"/>
    <x v="3"/>
    <x v="742"/>
    <n v="28673"/>
    <n v="68484"/>
    <n v="1559"/>
    <n v="16"/>
    <d v="2024-01-29T00:00:00"/>
    <n v="0.41870000000000002"/>
    <n v="22.764441329361603"/>
    <n v="1792.0625"/>
  </r>
  <r>
    <n v="100743"/>
    <x v="2"/>
    <x v="5"/>
    <x v="3"/>
    <x v="743"/>
    <n v="94771"/>
    <n v="566546"/>
    <n v="704"/>
    <n v="12"/>
    <d v="2024-01-26T00:00:00"/>
    <n v="0.1673"/>
    <n v="1.2426175456185378"/>
    <n v="7897.583333333333"/>
  </r>
  <r>
    <n v="100744"/>
    <x v="1"/>
    <x v="1"/>
    <x v="0"/>
    <x v="744"/>
    <n v="80206"/>
    <n v="673282"/>
    <n v="4049"/>
    <n v="11"/>
    <d v="2024-01-26T00:00:00"/>
    <n v="0.1191"/>
    <n v="6.0138248163473849"/>
    <n v="7291.454545454545"/>
  </r>
  <r>
    <n v="100745"/>
    <x v="1"/>
    <x v="5"/>
    <x v="4"/>
    <x v="745"/>
    <n v="93235"/>
    <n v="668513"/>
    <n v="3737"/>
    <n v="26"/>
    <d v="2024-02-11T00:00:00"/>
    <n v="0.13950000000000001"/>
    <n v="5.5900184439195648"/>
    <n v="3585.9615384615386"/>
  </r>
  <r>
    <n v="100746"/>
    <x v="2"/>
    <x v="1"/>
    <x v="0"/>
    <x v="746"/>
    <n v="95270"/>
    <n v="319951"/>
    <n v="4668"/>
    <n v="28"/>
    <d v="2024-02-14T00:00:00"/>
    <n v="0.29780000000000001"/>
    <n v="14.58973405302687"/>
    <n v="3402.5"/>
  </r>
  <r>
    <n v="100747"/>
    <x v="1"/>
    <x v="1"/>
    <x v="4"/>
    <x v="747"/>
    <n v="95148"/>
    <n v="757523"/>
    <n v="1407"/>
    <n v="5"/>
    <d v="2024-01-23T00:00:00"/>
    <n v="0.12559999999999999"/>
    <n v="1.8573693472013391"/>
    <n v="19029.599999999999"/>
  </r>
  <r>
    <n v="100748"/>
    <x v="0"/>
    <x v="4"/>
    <x v="1"/>
    <x v="748"/>
    <n v="21890"/>
    <n v="799639"/>
    <n v="570"/>
    <n v="10"/>
    <d v="2024-01-29T00:00:00"/>
    <n v="2.7400000000000001E-2"/>
    <n v="0.71282166077442444"/>
    <n v="2189"/>
  </r>
  <r>
    <n v="100749"/>
    <x v="0"/>
    <x v="2"/>
    <x v="4"/>
    <x v="749"/>
    <n v="92413"/>
    <n v="522479"/>
    <n v="390"/>
    <n v="19"/>
    <d v="2024-02-08T00:00:00"/>
    <n v="0.1769"/>
    <n v="0.74644148377255348"/>
    <n v="4863.8421052631575"/>
  </r>
  <r>
    <n v="100750"/>
    <x v="2"/>
    <x v="4"/>
    <x v="0"/>
    <x v="750"/>
    <n v="80884"/>
    <n v="923433"/>
    <n v="1591"/>
    <n v="1"/>
    <d v="2024-01-22T00:00:00"/>
    <n v="8.7599999999999997E-2"/>
    <n v="1.7229187174380816"/>
    <n v="80884"/>
  </r>
  <r>
    <n v="100751"/>
    <x v="2"/>
    <x v="1"/>
    <x v="0"/>
    <x v="751"/>
    <n v="33718"/>
    <n v="689929"/>
    <n v="611"/>
    <n v="17"/>
    <d v="2024-02-08T00:00:00"/>
    <n v="4.8899999999999999E-2"/>
    <n v="0.88559837316593448"/>
    <n v="1983.4117647058824"/>
  </r>
  <r>
    <n v="100752"/>
    <x v="2"/>
    <x v="0"/>
    <x v="1"/>
    <x v="752"/>
    <n v="6106"/>
    <n v="907816"/>
    <n v="3707"/>
    <n v="29"/>
    <d v="2024-02-21T00:00:00"/>
    <n v="6.7000000000000002E-3"/>
    <n v="4.0834265974602788"/>
    <n v="210.55172413793105"/>
  </r>
  <r>
    <n v="100753"/>
    <x v="1"/>
    <x v="6"/>
    <x v="3"/>
    <x v="753"/>
    <n v="24656"/>
    <n v="629463"/>
    <n v="4437"/>
    <n v="27"/>
    <d v="2024-02-20T00:00:00"/>
    <n v="3.9199999999999999E-2"/>
    <n v="7.048865461512432"/>
    <n v="913.18518518518522"/>
  </r>
  <r>
    <n v="100754"/>
    <x v="1"/>
    <x v="4"/>
    <x v="2"/>
    <x v="754"/>
    <n v="22190"/>
    <n v="388722"/>
    <n v="2372"/>
    <n v="21"/>
    <d v="2024-02-15T00:00:00"/>
    <n v="5.7099999999999998E-2"/>
    <n v="6.1020472214075872"/>
    <n v="1056.6666666666667"/>
  </r>
  <r>
    <n v="100755"/>
    <x v="2"/>
    <x v="1"/>
    <x v="0"/>
    <x v="755"/>
    <n v="57592"/>
    <n v="392281"/>
    <n v="700"/>
    <n v="5"/>
    <d v="2024-01-31T00:00:00"/>
    <n v="0.14680000000000001"/>
    <n v="1.7844351370573643"/>
    <n v="11518.4"/>
  </r>
  <r>
    <n v="100756"/>
    <x v="2"/>
    <x v="1"/>
    <x v="2"/>
    <x v="756"/>
    <n v="64299"/>
    <n v="672616"/>
    <n v="4402"/>
    <n v="25"/>
    <d v="2024-02-21T00:00:00"/>
    <n v="9.5600000000000004E-2"/>
    <n v="6.5445960250722548"/>
    <n v="2571.96"/>
  </r>
  <r>
    <n v="100757"/>
    <x v="3"/>
    <x v="4"/>
    <x v="0"/>
    <x v="757"/>
    <n v="16534"/>
    <n v="787070"/>
    <n v="2007"/>
    <n v="22"/>
    <d v="2024-02-19T00:00:00"/>
    <n v="2.1000000000000001E-2"/>
    <n v="2.5499637897518643"/>
    <n v="751.5454545454545"/>
  </r>
  <r>
    <n v="100758"/>
    <x v="2"/>
    <x v="4"/>
    <x v="4"/>
    <x v="758"/>
    <n v="11081"/>
    <n v="745197"/>
    <n v="2463"/>
    <n v="9"/>
    <d v="2024-02-07T00:00:00"/>
    <n v="1.49E-2"/>
    <n v="3.3051662848884256"/>
    <n v="1231.2222222222222"/>
  </r>
  <r>
    <n v="100759"/>
    <x v="1"/>
    <x v="0"/>
    <x v="1"/>
    <x v="759"/>
    <n v="25597"/>
    <n v="719040"/>
    <n v="4662"/>
    <n v="23"/>
    <d v="2024-02-22T00:00:00"/>
    <n v="3.56E-2"/>
    <n v="6.4836448598130838"/>
    <n v="1112.9130434782608"/>
  </r>
  <r>
    <n v="100760"/>
    <x v="0"/>
    <x v="3"/>
    <x v="1"/>
    <x v="760"/>
    <n v="82376"/>
    <n v="116454"/>
    <n v="2799"/>
    <n v="17"/>
    <d v="2024-02-17T00:00:00"/>
    <n v="0.70740000000000003"/>
    <n v="24.035241382863621"/>
    <n v="4845.6470588235297"/>
  </r>
  <r>
    <n v="100761"/>
    <x v="2"/>
    <x v="4"/>
    <x v="2"/>
    <x v="761"/>
    <n v="55449"/>
    <n v="713111"/>
    <n v="1608"/>
    <n v="6"/>
    <d v="2024-02-07T00:00:00"/>
    <n v="7.7799999999999994E-2"/>
    <n v="2.2549084223914648"/>
    <n v="9241.5"/>
  </r>
  <r>
    <n v="100762"/>
    <x v="2"/>
    <x v="1"/>
    <x v="3"/>
    <x v="762"/>
    <n v="84630"/>
    <n v="208035"/>
    <n v="615"/>
    <n v="23"/>
    <d v="2024-02-25T00:00:00"/>
    <n v="0.40679999999999999"/>
    <n v="2.9562333261230083"/>
    <n v="3679.5652173913045"/>
  </r>
  <r>
    <n v="100763"/>
    <x v="2"/>
    <x v="2"/>
    <x v="1"/>
    <x v="763"/>
    <n v="89250"/>
    <n v="388363"/>
    <n v="4483"/>
    <n v="15"/>
    <d v="2024-02-18T00:00:00"/>
    <n v="0.2298"/>
    <n v="11.543324158068611"/>
    <n v="5950"/>
  </r>
  <r>
    <n v="100764"/>
    <x v="3"/>
    <x v="4"/>
    <x v="4"/>
    <x v="764"/>
    <n v="32045"/>
    <n v="57860"/>
    <n v="941"/>
    <n v="8"/>
    <d v="2024-02-12T00:00:00"/>
    <n v="0.55379999999999996"/>
    <n v="16.263394400276532"/>
    <n v="4005.625"/>
  </r>
  <r>
    <n v="100765"/>
    <x v="2"/>
    <x v="4"/>
    <x v="2"/>
    <x v="765"/>
    <n v="44947"/>
    <n v="653872"/>
    <n v="1762"/>
    <n v="16"/>
    <d v="2024-02-21T00:00:00"/>
    <n v="6.8699999999999997E-2"/>
    <n v="2.6947170088335328"/>
    <n v="2809.1875"/>
  </r>
  <r>
    <n v="100766"/>
    <x v="2"/>
    <x v="5"/>
    <x v="0"/>
    <x v="766"/>
    <n v="91274"/>
    <n v="499968"/>
    <n v="1516"/>
    <n v="23"/>
    <d v="2024-02-29T00:00:00"/>
    <n v="0.18260000000000001"/>
    <n v="3.0321940604198669"/>
    <n v="3968.4347826086955"/>
  </r>
  <r>
    <n v="100767"/>
    <x v="2"/>
    <x v="0"/>
    <x v="4"/>
    <x v="767"/>
    <n v="76146"/>
    <n v="326238"/>
    <n v="610"/>
    <n v="19"/>
    <d v="2024-02-26T00:00:00"/>
    <n v="0.2334"/>
    <n v="1.8698005750403079"/>
    <n v="4007.6842105263158"/>
  </r>
  <r>
    <n v="100768"/>
    <x v="2"/>
    <x v="3"/>
    <x v="0"/>
    <x v="768"/>
    <n v="23429"/>
    <n v="499160"/>
    <n v="4332"/>
    <n v="18"/>
    <d v="2024-02-26T00:00:00"/>
    <n v="4.6899999999999997E-2"/>
    <n v="8.6785800144242327"/>
    <n v="1301.6111111111111"/>
  </r>
  <r>
    <n v="100769"/>
    <x v="1"/>
    <x v="1"/>
    <x v="2"/>
    <x v="769"/>
    <n v="66511"/>
    <n v="743862"/>
    <n v="1442"/>
    <n v="1"/>
    <d v="2024-02-10T00:00:00"/>
    <n v="8.9399999999999993E-2"/>
    <n v="1.9385316093576497"/>
    <n v="66511"/>
  </r>
  <r>
    <n v="100770"/>
    <x v="2"/>
    <x v="2"/>
    <x v="0"/>
    <x v="770"/>
    <n v="27151"/>
    <n v="523824"/>
    <n v="2847"/>
    <n v="14"/>
    <d v="2024-02-24T00:00:00"/>
    <n v="5.1799999999999999E-2"/>
    <n v="5.435031613671768"/>
    <n v="1939.3571428571429"/>
  </r>
  <r>
    <n v="100771"/>
    <x v="1"/>
    <x v="6"/>
    <x v="4"/>
    <x v="771"/>
    <n v="60809"/>
    <n v="203922"/>
    <n v="1814"/>
    <n v="29"/>
    <d v="2024-03-11T00:00:00"/>
    <n v="0.29820000000000002"/>
    <n v="8.8955581055501618"/>
    <n v="2096.8620689655172"/>
  </r>
  <r>
    <n v="100772"/>
    <x v="1"/>
    <x v="5"/>
    <x v="3"/>
    <x v="772"/>
    <n v="24734"/>
    <n v="579983"/>
    <n v="523"/>
    <n v="20"/>
    <d v="2024-03-03T00:00:00"/>
    <n v="4.2599999999999999E-2"/>
    <n v="0.90175056855114721"/>
    <n v="1236.7"/>
  </r>
  <r>
    <n v="100773"/>
    <x v="0"/>
    <x v="1"/>
    <x v="1"/>
    <x v="773"/>
    <n v="10973"/>
    <n v="963940"/>
    <n v="3371"/>
    <n v="13"/>
    <d v="2024-02-26T00:00:00"/>
    <n v="1.14E-2"/>
    <n v="3.4971056289810569"/>
    <n v="844.07692307692309"/>
  </r>
  <r>
    <n v="100774"/>
    <x v="2"/>
    <x v="3"/>
    <x v="0"/>
    <x v="774"/>
    <n v="44718"/>
    <n v="105119"/>
    <n v="2749"/>
    <n v="11"/>
    <d v="2024-02-25T00:00:00"/>
    <n v="0.4254"/>
    <n v="26.151314224830905"/>
    <n v="4065.2727272727275"/>
  </r>
  <r>
    <n v="100775"/>
    <x v="0"/>
    <x v="4"/>
    <x v="3"/>
    <x v="775"/>
    <n v="80141"/>
    <n v="728154"/>
    <n v="3144"/>
    <n v="10"/>
    <d v="2024-02-25T00:00:00"/>
    <n v="0.1101"/>
    <n v="4.3177679446930188"/>
    <n v="8014.1"/>
  </r>
  <r>
    <n v="100776"/>
    <x v="1"/>
    <x v="5"/>
    <x v="4"/>
    <x v="776"/>
    <n v="70379"/>
    <n v="838965"/>
    <n v="4159"/>
    <n v="1"/>
    <d v="2024-02-17T00:00:00"/>
    <n v="8.3900000000000002E-2"/>
    <n v="4.9572985762218931"/>
    <n v="70379"/>
  </r>
  <r>
    <n v="100777"/>
    <x v="2"/>
    <x v="6"/>
    <x v="3"/>
    <x v="777"/>
    <n v="89814"/>
    <n v="847051"/>
    <n v="1109"/>
    <n v="28"/>
    <d v="2024-03-16T00:00:00"/>
    <n v="0.106"/>
    <n v="1.3092482034729904"/>
    <n v="3207.6428571428573"/>
  </r>
  <r>
    <n v="100778"/>
    <x v="0"/>
    <x v="2"/>
    <x v="3"/>
    <x v="778"/>
    <n v="46384"/>
    <n v="798726"/>
    <n v="3863"/>
    <n v="7"/>
    <d v="2024-02-25T00:00:00"/>
    <n v="5.8099999999999999E-2"/>
    <n v="4.8364520498894494"/>
    <n v="6626.2857142857147"/>
  </r>
  <r>
    <n v="100779"/>
    <x v="0"/>
    <x v="4"/>
    <x v="3"/>
    <x v="779"/>
    <n v="87146"/>
    <n v="460045"/>
    <n v="287"/>
    <n v="12"/>
    <d v="2024-03-02T00:00:00"/>
    <n v="0.18940000000000001"/>
    <n v="0.62385201447684469"/>
    <n v="7262.166666666667"/>
  </r>
  <r>
    <n v="100780"/>
    <x v="2"/>
    <x v="6"/>
    <x v="0"/>
    <x v="780"/>
    <n v="31311"/>
    <n v="830973"/>
    <n v="2573"/>
    <n v="3"/>
    <d v="2024-02-23T00:00:00"/>
    <n v="3.7699999999999997E-2"/>
    <n v="3.0963701588378925"/>
    <n v="10437"/>
  </r>
  <r>
    <n v="100781"/>
    <x v="3"/>
    <x v="3"/>
    <x v="4"/>
    <x v="781"/>
    <n v="67165"/>
    <n v="136694"/>
    <n v="1401"/>
    <n v="2"/>
    <d v="2024-02-23T00:00:00"/>
    <n v="0.4914"/>
    <n v="10.24916967825947"/>
    <n v="33582.5"/>
  </r>
  <r>
    <n v="100782"/>
    <x v="1"/>
    <x v="4"/>
    <x v="0"/>
    <x v="782"/>
    <n v="6405"/>
    <n v="770408"/>
    <n v="2055"/>
    <n v="4"/>
    <d v="2024-02-26T00:00:00"/>
    <n v="8.3000000000000001E-3"/>
    <n v="2.6674177838236361"/>
    <n v="1601.25"/>
  </r>
  <r>
    <n v="100783"/>
    <x v="1"/>
    <x v="0"/>
    <x v="0"/>
    <x v="783"/>
    <n v="3551"/>
    <n v="734693"/>
    <n v="1695"/>
    <n v="20"/>
    <d v="2024-03-14T00:00:00"/>
    <n v="4.7999999999999996E-3"/>
    <n v="2.3070860890194953"/>
    <n v="177.55"/>
  </r>
  <r>
    <n v="100784"/>
    <x v="3"/>
    <x v="4"/>
    <x v="3"/>
    <x v="784"/>
    <n v="57505"/>
    <n v="54653"/>
    <n v="4810"/>
    <n v="2"/>
    <d v="2024-02-26T00:00:00"/>
    <n v="1.0522"/>
    <n v="88.009807329881255"/>
    <n v="28752.5"/>
  </r>
  <r>
    <n v="100785"/>
    <x v="2"/>
    <x v="1"/>
    <x v="0"/>
    <x v="785"/>
    <n v="44667"/>
    <n v="662637"/>
    <n v="2761"/>
    <n v="11"/>
    <d v="2024-03-07T00:00:00"/>
    <n v="6.7400000000000002E-2"/>
    <n v="4.1666855306902573"/>
    <n v="4060.6363636363635"/>
  </r>
  <r>
    <n v="100786"/>
    <x v="0"/>
    <x v="6"/>
    <x v="4"/>
    <x v="786"/>
    <n v="71775"/>
    <n v="268585"/>
    <n v="4789"/>
    <n v="29"/>
    <d v="2024-03-26T00:00:00"/>
    <n v="0.26719999999999999"/>
    <n v="17.830481970325966"/>
    <n v="2475"/>
  </r>
  <r>
    <n v="100787"/>
    <x v="2"/>
    <x v="0"/>
    <x v="4"/>
    <x v="787"/>
    <n v="61612"/>
    <n v="223921"/>
    <n v="2865"/>
    <n v="4"/>
    <d v="2024-03-02T00:00:00"/>
    <n v="0.2752"/>
    <n v="12.79469098476695"/>
    <n v="15403"/>
  </r>
  <r>
    <n v="100788"/>
    <x v="0"/>
    <x v="4"/>
    <x v="3"/>
    <x v="788"/>
    <n v="10989"/>
    <n v="392866"/>
    <n v="2978"/>
    <n v="26"/>
    <d v="2024-03-25T00:00:00"/>
    <n v="2.8000000000000001E-2"/>
    <n v="7.580192737472828"/>
    <n v="422.65384615384613"/>
  </r>
  <r>
    <n v="100789"/>
    <x v="1"/>
    <x v="3"/>
    <x v="4"/>
    <x v="789"/>
    <n v="13665"/>
    <n v="996182"/>
    <n v="1517"/>
    <n v="18"/>
    <d v="2024-03-18T00:00:00"/>
    <n v="1.37E-2"/>
    <n v="1.5228141042500265"/>
    <n v="759.16666666666663"/>
  </r>
  <r>
    <n v="100790"/>
    <x v="2"/>
    <x v="6"/>
    <x v="0"/>
    <x v="790"/>
    <n v="27752"/>
    <n v="155089"/>
    <n v="2130"/>
    <n v="12"/>
    <d v="2024-03-13T00:00:00"/>
    <n v="0.1789"/>
    <n v="13.734049481265597"/>
    <n v="2312.6666666666665"/>
  </r>
  <r>
    <n v="100791"/>
    <x v="1"/>
    <x v="2"/>
    <x v="3"/>
    <x v="791"/>
    <n v="64995"/>
    <n v="500763"/>
    <n v="608"/>
    <n v="20"/>
    <d v="2024-03-22T00:00:00"/>
    <n v="0.1298"/>
    <n v="1.2141472113554717"/>
    <n v="3249.75"/>
  </r>
  <r>
    <n v="100792"/>
    <x v="2"/>
    <x v="5"/>
    <x v="2"/>
    <x v="792"/>
    <n v="39803"/>
    <n v="544667"/>
    <n v="4994"/>
    <n v="21"/>
    <d v="2024-03-24T00:00:00"/>
    <n v="7.3099999999999998E-2"/>
    <n v="9.168905037389818"/>
    <n v="1895.3809523809523"/>
  </r>
  <r>
    <n v="100793"/>
    <x v="2"/>
    <x v="4"/>
    <x v="0"/>
    <x v="793"/>
    <n v="86400"/>
    <n v="899783"/>
    <n v="309"/>
    <n v="9"/>
    <d v="2024-03-13T00:00:00"/>
    <n v="9.6000000000000002E-2"/>
    <n v="0.34341613477916338"/>
    <n v="9600"/>
  </r>
  <r>
    <n v="100794"/>
    <x v="2"/>
    <x v="5"/>
    <x v="0"/>
    <x v="794"/>
    <n v="85324"/>
    <n v="655810"/>
    <n v="1611"/>
    <n v="27"/>
    <d v="2024-04-01T00:00:00"/>
    <n v="0.13009999999999999"/>
    <n v="2.456504170415212"/>
    <n v="3160.1481481481483"/>
  </r>
  <r>
    <n v="100795"/>
    <x v="2"/>
    <x v="2"/>
    <x v="0"/>
    <x v="795"/>
    <n v="64652"/>
    <n v="615575"/>
    <n v="1702"/>
    <n v="20"/>
    <d v="2024-03-26T00:00:00"/>
    <n v="0.105"/>
    <n v="2.7648946107298058"/>
    <n v="3232.6"/>
  </r>
  <r>
    <n v="100796"/>
    <x v="2"/>
    <x v="4"/>
    <x v="0"/>
    <x v="796"/>
    <n v="43099"/>
    <n v="278650"/>
    <n v="4885"/>
    <n v="19"/>
    <d v="2024-03-26T00:00:00"/>
    <n v="0.1547"/>
    <n v="17.53095280818231"/>
    <n v="2268.3684210526317"/>
  </r>
  <r>
    <n v="100797"/>
    <x v="2"/>
    <x v="2"/>
    <x v="0"/>
    <x v="797"/>
    <n v="71101"/>
    <n v="45682"/>
    <n v="187"/>
    <n v="6"/>
    <d v="2024-03-14T00:00:00"/>
    <n v="1.5564"/>
    <n v="4.0935160457072808"/>
    <n v="11850.166666666666"/>
  </r>
  <r>
    <n v="100798"/>
    <x v="0"/>
    <x v="2"/>
    <x v="2"/>
    <x v="798"/>
    <n v="65235"/>
    <n v="511101"/>
    <n v="3431"/>
    <n v="25"/>
    <d v="2024-04-03T00:00:00"/>
    <n v="0.12759999999999999"/>
    <n v="6.7129588867953691"/>
    <n v="2609.4"/>
  </r>
  <r>
    <n v="100799"/>
    <x v="0"/>
    <x v="1"/>
    <x v="1"/>
    <x v="799"/>
    <n v="41782"/>
    <n v="251510"/>
    <n v="4060"/>
    <n v="10"/>
    <d v="2024-03-20T00:00:00"/>
    <n v="0.1661"/>
    <n v="16.142499304202616"/>
    <n v="4178.2"/>
  </r>
  <r>
    <n v="100800"/>
    <x v="0"/>
    <x v="2"/>
    <x v="2"/>
    <x v="800"/>
    <n v="91295"/>
    <n v="177262"/>
    <n v="3265"/>
    <n v="14"/>
    <d v="2024-03-25T00:00:00"/>
    <n v="0.51500000000000001"/>
    <n v="18.419063307420654"/>
    <n v="6521.0714285714284"/>
  </r>
  <r>
    <n v="100801"/>
    <x v="2"/>
    <x v="1"/>
    <x v="3"/>
    <x v="801"/>
    <n v="79728"/>
    <n v="543203"/>
    <n v="3550"/>
    <n v="22"/>
    <d v="2024-04-03T00:00:00"/>
    <n v="0.14680000000000001"/>
    <n v="6.5353100038107304"/>
    <n v="3624"/>
  </r>
  <r>
    <n v="100802"/>
    <x v="0"/>
    <x v="2"/>
    <x v="1"/>
    <x v="802"/>
    <n v="46177"/>
    <n v="484137"/>
    <n v="1387"/>
    <n v="12"/>
    <d v="2024-03-25T00:00:00"/>
    <n v="9.5399999999999999E-2"/>
    <n v="2.8648915492928655"/>
    <n v="3848.0833333333335"/>
  </r>
  <r>
    <n v="100803"/>
    <x v="1"/>
    <x v="6"/>
    <x v="0"/>
    <x v="803"/>
    <n v="37028"/>
    <n v="161081"/>
    <n v="4455"/>
    <n v="9"/>
    <d v="2024-03-23T00:00:00"/>
    <n v="0.22989999999999999"/>
    <n v="27.656893115885797"/>
    <n v="4114.2222222222226"/>
  </r>
  <r>
    <n v="100804"/>
    <x v="2"/>
    <x v="6"/>
    <x v="3"/>
    <x v="804"/>
    <n v="64572"/>
    <n v="311730"/>
    <n v="4762"/>
    <n v="11"/>
    <d v="2024-03-26T00:00:00"/>
    <n v="0.20710000000000001"/>
    <n v="15.276040162961538"/>
    <n v="5870.181818181818"/>
  </r>
  <r>
    <n v="100805"/>
    <x v="2"/>
    <x v="3"/>
    <x v="0"/>
    <x v="805"/>
    <n v="834"/>
    <n v="928019"/>
    <n v="616"/>
    <n v="15"/>
    <d v="2024-03-31T00:00:00"/>
    <n v="8.9999999999999998E-4"/>
    <n v="0.66377951313496819"/>
    <n v="55.6"/>
  </r>
  <r>
    <n v="100806"/>
    <x v="1"/>
    <x v="2"/>
    <x v="4"/>
    <x v="806"/>
    <n v="65948"/>
    <n v="693820"/>
    <n v="3895"/>
    <n v="13"/>
    <d v="2024-03-30T00:00:00"/>
    <n v="9.5100000000000004E-2"/>
    <n v="5.6138479720965089"/>
    <n v="5072.9230769230771"/>
  </r>
  <r>
    <n v="100807"/>
    <x v="2"/>
    <x v="0"/>
    <x v="0"/>
    <x v="807"/>
    <n v="10000"/>
    <n v="701479"/>
    <n v="3593"/>
    <n v="23"/>
    <d v="2024-04-10T00:00:00"/>
    <n v="1.43E-2"/>
    <n v="5.1220350145906011"/>
    <n v="434.78260869565219"/>
  </r>
  <r>
    <n v="100808"/>
    <x v="1"/>
    <x v="0"/>
    <x v="0"/>
    <x v="808"/>
    <n v="66414"/>
    <n v="551161"/>
    <n v="131"/>
    <n v="12"/>
    <d v="2024-03-31T00:00:00"/>
    <n v="0.1205"/>
    <n v="0.23768009710411295"/>
    <n v="5534.5"/>
  </r>
  <r>
    <n v="100809"/>
    <x v="3"/>
    <x v="0"/>
    <x v="3"/>
    <x v="809"/>
    <n v="22952"/>
    <n v="291914"/>
    <n v="3725"/>
    <n v="26"/>
    <d v="2024-04-15T00:00:00"/>
    <n v="7.8600000000000003E-2"/>
    <n v="12.760607576203951"/>
    <n v="882.76923076923072"/>
  </r>
  <r>
    <n v="100810"/>
    <x v="2"/>
    <x v="3"/>
    <x v="1"/>
    <x v="810"/>
    <n v="77808"/>
    <n v="60343"/>
    <n v="988"/>
    <n v="12"/>
    <d v="2024-04-02T00:00:00"/>
    <n v="1.2894000000000001"/>
    <n v="16.373067298609616"/>
    <n v="6484"/>
  </r>
  <r>
    <n v="100811"/>
    <x v="2"/>
    <x v="6"/>
    <x v="0"/>
    <x v="811"/>
    <n v="14172"/>
    <n v="301490"/>
    <n v="2350"/>
    <n v="17"/>
    <d v="2024-04-08T00:00:00"/>
    <n v="4.7E-2"/>
    <n v="7.7946200537331247"/>
    <n v="833.64705882352939"/>
  </r>
  <r>
    <n v="100812"/>
    <x v="3"/>
    <x v="4"/>
    <x v="1"/>
    <x v="812"/>
    <n v="51369"/>
    <n v="188171"/>
    <n v="4839"/>
    <n v="15"/>
    <d v="2024-04-07T00:00:00"/>
    <n v="0.27300000000000002"/>
    <n v="25.715971111382729"/>
    <n v="3424.6"/>
  </r>
  <r>
    <n v="100813"/>
    <x v="1"/>
    <x v="6"/>
    <x v="1"/>
    <x v="813"/>
    <n v="49764"/>
    <n v="65430"/>
    <n v="1168"/>
    <n v="11"/>
    <d v="2024-04-04T00:00:00"/>
    <n v="0.76060000000000005"/>
    <n v="17.851138621427481"/>
    <n v="4524"/>
  </r>
  <r>
    <n v="100814"/>
    <x v="2"/>
    <x v="4"/>
    <x v="1"/>
    <x v="814"/>
    <n v="70802"/>
    <n v="571764"/>
    <n v="2190"/>
    <n v="16"/>
    <d v="2024-04-10T00:00:00"/>
    <n v="0.12379999999999999"/>
    <n v="3.8302516422859783"/>
    <n v="4425.125"/>
  </r>
  <r>
    <n v="100815"/>
    <x v="0"/>
    <x v="4"/>
    <x v="0"/>
    <x v="815"/>
    <n v="74936"/>
    <n v="821818"/>
    <n v="1691"/>
    <n v="5"/>
    <d v="2024-03-31T00:00:00"/>
    <n v="9.1200000000000003E-2"/>
    <n v="2.0576331985914154"/>
    <n v="14987.2"/>
  </r>
  <r>
    <n v="100816"/>
    <x v="0"/>
    <x v="4"/>
    <x v="4"/>
    <x v="816"/>
    <n v="89462"/>
    <n v="738535"/>
    <n v="3642"/>
    <n v="27"/>
    <d v="2024-04-23T00:00:00"/>
    <n v="0.1211"/>
    <n v="4.9313844299863918"/>
    <n v="3313.4074074074074"/>
  </r>
  <r>
    <n v="100817"/>
    <x v="1"/>
    <x v="2"/>
    <x v="0"/>
    <x v="817"/>
    <n v="47325"/>
    <n v="360447"/>
    <n v="1375"/>
    <n v="18"/>
    <d v="2024-04-15T00:00:00"/>
    <n v="0.1313"/>
    <n v="3.8147078488654365"/>
    <n v="2629.1666666666665"/>
  </r>
  <r>
    <n v="100818"/>
    <x v="1"/>
    <x v="4"/>
    <x v="2"/>
    <x v="818"/>
    <n v="76914"/>
    <n v="423270"/>
    <n v="3145"/>
    <n v="9"/>
    <d v="2024-04-07T00:00:00"/>
    <n v="0.1817"/>
    <n v="7.430245469794694"/>
    <n v="8546"/>
  </r>
  <r>
    <n v="100819"/>
    <x v="2"/>
    <x v="3"/>
    <x v="1"/>
    <x v="819"/>
    <n v="74406"/>
    <n v="105663"/>
    <n v="2685"/>
    <n v="4"/>
    <d v="2024-04-03T00:00:00"/>
    <n v="0.70420000000000005"/>
    <n v="25.410976406121346"/>
    <n v="18601.5"/>
  </r>
  <r>
    <n v="100820"/>
    <x v="2"/>
    <x v="1"/>
    <x v="4"/>
    <x v="820"/>
    <n v="27797"/>
    <n v="554694"/>
    <n v="889"/>
    <n v="23"/>
    <d v="2024-04-23T00:00:00"/>
    <n v="5.0099999999999999E-2"/>
    <n v="1.6026854445874661"/>
    <n v="1208.5652173913043"/>
  </r>
  <r>
    <n v="100821"/>
    <x v="1"/>
    <x v="4"/>
    <x v="4"/>
    <x v="821"/>
    <n v="52024"/>
    <n v="276138"/>
    <n v="4470"/>
    <n v="27"/>
    <d v="2024-04-28T00:00:00"/>
    <n v="0.18840000000000001"/>
    <n v="16.187558394715683"/>
    <n v="1926.8148148148148"/>
  </r>
  <r>
    <n v="100822"/>
    <x v="2"/>
    <x v="1"/>
    <x v="4"/>
    <x v="822"/>
    <n v="85717"/>
    <n v="768745"/>
    <n v="3601"/>
    <n v="28"/>
    <d v="2024-04-30T00:00:00"/>
    <n v="0.1115"/>
    <n v="4.6842581089958308"/>
    <n v="3061.3214285714284"/>
  </r>
  <r>
    <n v="100823"/>
    <x v="1"/>
    <x v="4"/>
    <x v="1"/>
    <x v="823"/>
    <n v="64750"/>
    <n v="317158"/>
    <n v="970"/>
    <n v="26"/>
    <d v="2024-04-29T00:00:00"/>
    <n v="0.20419999999999999"/>
    <n v="3.0584125262487469"/>
    <n v="2490.3846153846152"/>
  </r>
  <r>
    <n v="100824"/>
    <x v="0"/>
    <x v="5"/>
    <x v="1"/>
    <x v="824"/>
    <n v="99769"/>
    <n v="288311"/>
    <n v="434"/>
    <n v="22"/>
    <d v="2024-04-26T00:00:00"/>
    <n v="0.34599999999999997"/>
    <n v="1.5053189090946928"/>
    <n v="4534.954545454545"/>
  </r>
  <r>
    <n v="100825"/>
    <x v="2"/>
    <x v="6"/>
    <x v="2"/>
    <x v="825"/>
    <n v="59744"/>
    <n v="725202"/>
    <n v="4755"/>
    <n v="15"/>
    <d v="2024-04-20T00:00:00"/>
    <n v="8.2400000000000001E-2"/>
    <n v="6.5567938312359866"/>
    <n v="3982.9333333333334"/>
  </r>
  <r>
    <n v="100826"/>
    <x v="1"/>
    <x v="0"/>
    <x v="3"/>
    <x v="826"/>
    <n v="59983"/>
    <n v="216773"/>
    <n v="4403"/>
    <n v="24"/>
    <d v="2024-04-30T00:00:00"/>
    <n v="0.2767"/>
    <n v="20.311570167871462"/>
    <n v="2499.2916666666665"/>
  </r>
  <r>
    <n v="100827"/>
    <x v="2"/>
    <x v="5"/>
    <x v="4"/>
    <x v="827"/>
    <n v="64483"/>
    <n v="991943"/>
    <n v="734"/>
    <n v="16"/>
    <d v="2024-04-23T00:00:00"/>
    <n v="6.5000000000000002E-2"/>
    <n v="0.73996187280922388"/>
    <n v="4030.1875"/>
  </r>
  <r>
    <n v="100828"/>
    <x v="0"/>
    <x v="0"/>
    <x v="1"/>
    <x v="828"/>
    <n v="24593"/>
    <n v="149819"/>
    <n v="2700"/>
    <n v="5"/>
    <d v="2024-04-13T00:00:00"/>
    <n v="0.16420000000000001"/>
    <n v="18.021746240463489"/>
    <n v="4918.6000000000004"/>
  </r>
  <r>
    <n v="100829"/>
    <x v="2"/>
    <x v="1"/>
    <x v="3"/>
    <x v="829"/>
    <n v="13598"/>
    <n v="323768"/>
    <n v="449"/>
    <n v="26"/>
    <d v="2024-05-05T00:00:00"/>
    <n v="4.2000000000000003E-2"/>
    <n v="1.386795483185491"/>
    <n v="523"/>
  </r>
  <r>
    <n v="100830"/>
    <x v="1"/>
    <x v="0"/>
    <x v="4"/>
    <x v="830"/>
    <n v="27351"/>
    <n v="75723"/>
    <n v="1049"/>
    <n v="14"/>
    <d v="2024-04-24T00:00:00"/>
    <n v="0.36120000000000002"/>
    <n v="13.85312256513873"/>
    <n v="1953.6428571428571"/>
  </r>
  <r>
    <n v="100831"/>
    <x v="1"/>
    <x v="0"/>
    <x v="4"/>
    <x v="831"/>
    <n v="39219"/>
    <n v="504112"/>
    <n v="2429"/>
    <n v="25"/>
    <d v="2024-05-06T00:00:00"/>
    <n v="7.7799999999999994E-2"/>
    <n v="4.8183736947345031"/>
    <n v="1568.76"/>
  </r>
  <r>
    <n v="100832"/>
    <x v="2"/>
    <x v="4"/>
    <x v="4"/>
    <x v="832"/>
    <n v="57382"/>
    <n v="560252"/>
    <n v="3894"/>
    <n v="18"/>
    <d v="2024-04-30T00:00:00"/>
    <n v="0.1024"/>
    <n v="6.9504437288934264"/>
    <n v="3187.8888888888887"/>
  </r>
  <r>
    <n v="100833"/>
    <x v="1"/>
    <x v="3"/>
    <x v="4"/>
    <x v="833"/>
    <n v="2546"/>
    <n v="1082"/>
    <n v="1231"/>
    <n v="21"/>
    <d v="2024-05-04T00:00:00"/>
    <n v="2.3530000000000002"/>
    <n v="1137.7079482439926"/>
    <n v="121.23809523809524"/>
  </r>
  <r>
    <n v="100834"/>
    <x v="0"/>
    <x v="3"/>
    <x v="1"/>
    <x v="834"/>
    <n v="35429"/>
    <n v="212345"/>
    <n v="582"/>
    <n v="18"/>
    <d v="2024-05-02T00:00:00"/>
    <n v="0.1668"/>
    <n v="2.7408227177470628"/>
    <n v="1968.2777777777778"/>
  </r>
  <r>
    <n v="100835"/>
    <x v="1"/>
    <x v="5"/>
    <x v="1"/>
    <x v="835"/>
    <n v="32742"/>
    <n v="767401"/>
    <n v="3315"/>
    <n v="21"/>
    <d v="2024-05-06T00:00:00"/>
    <n v="4.2700000000000002E-2"/>
    <n v="4.319775449862588"/>
    <n v="1559.1428571428571"/>
  </r>
  <r>
    <n v="100836"/>
    <x v="0"/>
    <x v="4"/>
    <x v="2"/>
    <x v="836"/>
    <n v="68044"/>
    <n v="705225"/>
    <n v="3279"/>
    <n v="27"/>
    <d v="2024-05-13T00:00:00"/>
    <n v="9.6500000000000002E-2"/>
    <n v="4.6495799213017124"/>
    <n v="2520.1481481481483"/>
  </r>
  <r>
    <n v="100837"/>
    <x v="3"/>
    <x v="0"/>
    <x v="1"/>
    <x v="837"/>
    <n v="14073"/>
    <n v="815253"/>
    <n v="4428"/>
    <n v="2"/>
    <d v="2024-04-19T00:00:00"/>
    <n v="1.7299999999999999E-2"/>
    <n v="5.4314427545804795"/>
    <n v="7036.5"/>
  </r>
  <r>
    <n v="100838"/>
    <x v="1"/>
    <x v="1"/>
    <x v="0"/>
    <x v="838"/>
    <n v="77020"/>
    <n v="242841"/>
    <n v="1584"/>
    <n v="13"/>
    <d v="2024-05-01T00:00:00"/>
    <n v="0.31719999999999998"/>
    <n v="6.5227865146330313"/>
    <n v="5924.6153846153848"/>
  </r>
  <r>
    <n v="100839"/>
    <x v="1"/>
    <x v="3"/>
    <x v="1"/>
    <x v="839"/>
    <n v="81406"/>
    <n v="278740"/>
    <n v="710"/>
    <n v="14"/>
    <d v="2024-05-03T00:00:00"/>
    <n v="0.29199999999999998"/>
    <n v="2.5471765803257513"/>
    <n v="5814.7142857142853"/>
  </r>
  <r>
    <n v="100840"/>
    <x v="2"/>
    <x v="3"/>
    <x v="1"/>
    <x v="840"/>
    <n v="13257"/>
    <n v="967597"/>
    <n v="944"/>
    <n v="15"/>
    <d v="2024-05-05T00:00:00"/>
    <n v="1.37E-2"/>
    <n v="0.9756127809408256"/>
    <n v="883.8"/>
  </r>
  <r>
    <n v="100841"/>
    <x v="0"/>
    <x v="3"/>
    <x v="2"/>
    <x v="841"/>
    <n v="34835"/>
    <n v="239272"/>
    <n v="1208"/>
    <n v="3"/>
    <d v="2024-04-24T00:00:00"/>
    <n v="0.14560000000000001"/>
    <n v="5.0486475642783102"/>
    <n v="11611.666666666666"/>
  </r>
  <r>
    <n v="100842"/>
    <x v="1"/>
    <x v="3"/>
    <x v="1"/>
    <x v="842"/>
    <n v="61666"/>
    <n v="380770"/>
    <n v="735"/>
    <n v="1"/>
    <d v="2024-04-23T00:00:00"/>
    <n v="0.16200000000000001"/>
    <n v="1.9302991307088269"/>
    <n v="61666"/>
  </r>
  <r>
    <n v="100843"/>
    <x v="1"/>
    <x v="4"/>
    <x v="2"/>
    <x v="843"/>
    <n v="33803"/>
    <n v="706545"/>
    <n v="1918"/>
    <n v="1"/>
    <d v="2024-04-24T00:00:00"/>
    <n v="4.7800000000000002E-2"/>
    <n v="2.7146183187199684"/>
    <n v="33803"/>
  </r>
  <r>
    <n v="100844"/>
    <x v="2"/>
    <x v="5"/>
    <x v="0"/>
    <x v="844"/>
    <n v="40291"/>
    <n v="709685"/>
    <n v="1544"/>
    <n v="3"/>
    <d v="2024-04-27T00:00:00"/>
    <n v="5.6800000000000003E-2"/>
    <n v="2.1756131241325378"/>
    <n v="13430.333333333334"/>
  </r>
  <r>
    <n v="100845"/>
    <x v="0"/>
    <x v="3"/>
    <x v="0"/>
    <x v="845"/>
    <n v="86716"/>
    <n v="414085"/>
    <n v="4284"/>
    <n v="13"/>
    <d v="2024-05-08T00:00:00"/>
    <n v="0.2094"/>
    <n v="10.345701969402416"/>
    <n v="6670.4615384615381"/>
  </r>
  <r>
    <n v="100846"/>
    <x v="2"/>
    <x v="2"/>
    <x v="2"/>
    <x v="846"/>
    <n v="52373"/>
    <n v="201809"/>
    <n v="356"/>
    <n v="21"/>
    <d v="2024-05-17T00:00:00"/>
    <n v="0.25950000000000001"/>
    <n v="1.7640442200298303"/>
    <n v="2493.9523809523807"/>
  </r>
  <r>
    <n v="100847"/>
    <x v="1"/>
    <x v="3"/>
    <x v="4"/>
    <x v="847"/>
    <n v="80202"/>
    <n v="258814"/>
    <n v="3408"/>
    <n v="13"/>
    <d v="2024-05-10T00:00:00"/>
    <n v="0.30990000000000001"/>
    <n v="13.167757540163977"/>
    <n v="6169.3846153846152"/>
  </r>
  <r>
    <n v="100848"/>
    <x v="2"/>
    <x v="6"/>
    <x v="2"/>
    <x v="848"/>
    <n v="41015"/>
    <n v="516195"/>
    <n v="4507"/>
    <n v="27"/>
    <d v="2024-05-25T00:00:00"/>
    <n v="7.9500000000000001E-2"/>
    <n v="8.7311965439417261"/>
    <n v="1519.0740740740741"/>
  </r>
  <r>
    <n v="100849"/>
    <x v="3"/>
    <x v="1"/>
    <x v="2"/>
    <x v="849"/>
    <n v="13385"/>
    <n v="769317"/>
    <n v="4470"/>
    <n v="24"/>
    <d v="2024-05-23T00:00:00"/>
    <n v="1.7399999999999999E-2"/>
    <n v="5.8103486599152241"/>
    <n v="557.70833333333337"/>
  </r>
  <r>
    <n v="100850"/>
    <x v="2"/>
    <x v="6"/>
    <x v="0"/>
    <x v="850"/>
    <n v="5577"/>
    <n v="663252"/>
    <n v="34"/>
    <n v="16"/>
    <d v="2024-05-16T00:00:00"/>
    <n v="8.3999999999999995E-3"/>
    <n v="5.1262566867495314E-2"/>
    <n v="348.5625"/>
  </r>
  <r>
    <n v="100851"/>
    <x v="2"/>
    <x v="0"/>
    <x v="2"/>
    <x v="851"/>
    <n v="17465"/>
    <n v="295458"/>
    <n v="2335"/>
    <n v="17"/>
    <d v="2024-05-18T00:00:00"/>
    <n v="5.91E-2"/>
    <n v="7.9029845189502401"/>
    <n v="1027.3529411764705"/>
  </r>
  <r>
    <n v="100852"/>
    <x v="0"/>
    <x v="6"/>
    <x v="2"/>
    <x v="852"/>
    <n v="14553"/>
    <n v="655662"/>
    <n v="1973"/>
    <n v="18"/>
    <d v="2024-05-20T00:00:00"/>
    <n v="2.2200000000000001E-2"/>
    <n v="3.0091724089546137"/>
    <n v="808.5"/>
  </r>
  <r>
    <n v="100853"/>
    <x v="3"/>
    <x v="5"/>
    <x v="2"/>
    <x v="853"/>
    <n v="73020"/>
    <n v="616828"/>
    <n v="1916"/>
    <n v="7"/>
    <d v="2024-05-10T00:00:00"/>
    <n v="0.11840000000000001"/>
    <n v="3.1062143741853485"/>
    <n v="10431.428571428571"/>
  </r>
  <r>
    <n v="100854"/>
    <x v="2"/>
    <x v="1"/>
    <x v="3"/>
    <x v="854"/>
    <n v="38524"/>
    <n v="154841"/>
    <n v="500"/>
    <n v="2"/>
    <d v="2024-05-06T00:00:00"/>
    <n v="0.24879999999999999"/>
    <n v="3.2291189026162321"/>
    <n v="19262"/>
  </r>
  <r>
    <n v="100855"/>
    <x v="1"/>
    <x v="0"/>
    <x v="3"/>
    <x v="855"/>
    <n v="7279"/>
    <n v="869993"/>
    <n v="1555"/>
    <n v="12"/>
    <d v="2024-05-17T00:00:00"/>
    <n v="8.3999999999999995E-3"/>
    <n v="1.7873707029826678"/>
    <n v="606.58333333333337"/>
  </r>
  <r>
    <n v="100856"/>
    <x v="0"/>
    <x v="0"/>
    <x v="1"/>
    <x v="856"/>
    <n v="99333"/>
    <n v="15580"/>
    <n v="1956"/>
    <n v="23"/>
    <d v="2024-05-29T00:00:00"/>
    <n v="6.3757000000000001"/>
    <n v="125.54557124518614"/>
    <n v="4318.826086956522"/>
  </r>
  <r>
    <n v="100857"/>
    <x v="0"/>
    <x v="3"/>
    <x v="2"/>
    <x v="857"/>
    <n v="66811"/>
    <n v="600222"/>
    <n v="541"/>
    <n v="24"/>
    <d v="2024-05-31T00:00:00"/>
    <n v="0.1113"/>
    <n v="0.9013331733925114"/>
    <n v="2783.7916666666665"/>
  </r>
  <r>
    <n v="100858"/>
    <x v="2"/>
    <x v="2"/>
    <x v="2"/>
    <x v="858"/>
    <n v="23272"/>
    <n v="920689"/>
    <n v="4846"/>
    <n v="10"/>
    <d v="2024-05-18T00:00:00"/>
    <n v="2.53E-2"/>
    <n v="5.2634494384097126"/>
    <n v="2327.1999999999998"/>
  </r>
  <r>
    <n v="100859"/>
    <x v="1"/>
    <x v="5"/>
    <x v="4"/>
    <x v="859"/>
    <n v="21477"/>
    <n v="478651"/>
    <n v="1857"/>
    <n v="26"/>
    <d v="2024-06-04T00:00:00"/>
    <n v="4.4900000000000002E-2"/>
    <n v="3.8796534426962439"/>
    <n v="826.03846153846155"/>
  </r>
  <r>
    <n v="100860"/>
    <x v="0"/>
    <x v="3"/>
    <x v="0"/>
    <x v="860"/>
    <n v="73314"/>
    <n v="659465"/>
    <n v="4190"/>
    <n v="14"/>
    <d v="2024-05-24T00:00:00"/>
    <n v="0.11119999999999999"/>
    <n v="6.3536351436391616"/>
    <n v="5236.7142857142853"/>
  </r>
  <r>
    <n v="100861"/>
    <x v="0"/>
    <x v="2"/>
    <x v="4"/>
    <x v="861"/>
    <n v="82544"/>
    <n v="868338"/>
    <n v="1323"/>
    <n v="9"/>
    <d v="2024-05-20T00:00:00"/>
    <n v="9.5100000000000004E-2"/>
    <n v="1.5236002570427645"/>
    <n v="9171.5555555555547"/>
  </r>
  <r>
    <n v="100862"/>
    <x v="0"/>
    <x v="3"/>
    <x v="1"/>
    <x v="862"/>
    <n v="2619"/>
    <n v="769848"/>
    <n v="2554"/>
    <n v="7"/>
    <d v="2024-05-19T00:00:00"/>
    <n v="3.3999999999999998E-3"/>
    <n v="3.3175380075027796"/>
    <n v="374.14285714285717"/>
  </r>
  <r>
    <n v="100863"/>
    <x v="1"/>
    <x v="0"/>
    <x v="4"/>
    <x v="863"/>
    <n v="80535"/>
    <n v="695736"/>
    <n v="3430"/>
    <n v="2"/>
    <d v="2024-05-15T00:00:00"/>
    <n v="0.1158"/>
    <n v="4.930030931272781"/>
    <n v="40267.5"/>
  </r>
  <r>
    <n v="100864"/>
    <x v="2"/>
    <x v="2"/>
    <x v="1"/>
    <x v="864"/>
    <n v="76466"/>
    <n v="910412"/>
    <n v="1392"/>
    <n v="11"/>
    <d v="2024-05-25T00:00:00"/>
    <n v="8.4000000000000005E-2"/>
    <n v="1.5289780890410056"/>
    <n v="6951.454545454545"/>
  </r>
  <r>
    <n v="100865"/>
    <x v="3"/>
    <x v="5"/>
    <x v="3"/>
    <x v="865"/>
    <n v="1673"/>
    <n v="689335"/>
    <n v="3910"/>
    <n v="19"/>
    <d v="2024-06-03T00:00:00"/>
    <n v="2.3999999999999998E-3"/>
    <n v="5.6721332878788981"/>
    <n v="88.05263157894737"/>
  </r>
  <r>
    <n v="100866"/>
    <x v="0"/>
    <x v="6"/>
    <x v="0"/>
    <x v="866"/>
    <n v="25496"/>
    <n v="998467"/>
    <n v="2528"/>
    <n v="23"/>
    <d v="2024-06-08T00:00:00"/>
    <n v="2.5499999999999998E-2"/>
    <n v="2.5318813741465669"/>
    <n v="1108.5217391304348"/>
  </r>
  <r>
    <n v="100867"/>
    <x v="0"/>
    <x v="4"/>
    <x v="2"/>
    <x v="867"/>
    <n v="68477"/>
    <n v="428311"/>
    <n v="173"/>
    <n v="17"/>
    <d v="2024-06-03T00:00:00"/>
    <n v="0.15989999999999999"/>
    <n v="0.40391211059253673"/>
    <n v="4028.0588235294117"/>
  </r>
  <r>
    <n v="100868"/>
    <x v="2"/>
    <x v="2"/>
    <x v="0"/>
    <x v="868"/>
    <n v="27549"/>
    <n v="493884"/>
    <n v="4174"/>
    <n v="13"/>
    <d v="2024-05-31T00:00:00"/>
    <n v="5.5800000000000002E-2"/>
    <n v="8.4513772464789305"/>
    <n v="2119.1538461538462"/>
  </r>
  <r>
    <n v="100869"/>
    <x v="2"/>
    <x v="4"/>
    <x v="2"/>
    <x v="869"/>
    <n v="4773"/>
    <n v="352308"/>
    <n v="2308"/>
    <n v="2"/>
    <d v="2024-05-21T00:00:00"/>
    <n v="1.35E-2"/>
    <n v="6.5510859815842952"/>
    <n v="2386.5"/>
  </r>
  <r>
    <n v="100870"/>
    <x v="0"/>
    <x v="6"/>
    <x v="3"/>
    <x v="870"/>
    <n v="49744"/>
    <n v="970369"/>
    <n v="2865"/>
    <n v="20"/>
    <d v="2024-06-09T00:00:00"/>
    <n v="5.1299999999999998E-2"/>
    <n v="2.9524850855705407"/>
    <n v="2487.1999999999998"/>
  </r>
  <r>
    <n v="100871"/>
    <x v="2"/>
    <x v="0"/>
    <x v="4"/>
    <x v="871"/>
    <n v="45348"/>
    <n v="422582"/>
    <n v="2700"/>
    <n v="19"/>
    <d v="2024-06-09T00:00:00"/>
    <n v="0.10730000000000001"/>
    <n v="6.3892924923446808"/>
    <n v="2386.7368421052633"/>
  </r>
  <r>
    <n v="100872"/>
    <x v="3"/>
    <x v="4"/>
    <x v="2"/>
    <x v="872"/>
    <n v="23329"/>
    <n v="165570"/>
    <n v="2215"/>
    <n v="1"/>
    <d v="2024-05-23T00:00:00"/>
    <n v="0.1409"/>
    <n v="13.378027420426406"/>
    <n v="23329"/>
  </r>
  <r>
    <n v="100873"/>
    <x v="2"/>
    <x v="5"/>
    <x v="1"/>
    <x v="873"/>
    <n v="75377"/>
    <n v="431509"/>
    <n v="2911"/>
    <n v="11"/>
    <d v="2024-06-03T00:00:00"/>
    <n v="0.17469999999999999"/>
    <n v="6.7460933607410274"/>
    <n v="6852.454545454545"/>
  </r>
  <r>
    <n v="100874"/>
    <x v="0"/>
    <x v="1"/>
    <x v="4"/>
    <x v="874"/>
    <n v="80108"/>
    <n v="716979"/>
    <n v="3385"/>
    <n v="6"/>
    <d v="2024-05-30T00:00:00"/>
    <n v="0.11169999999999999"/>
    <n v="4.7211982498790066"/>
    <n v="13351.333333333334"/>
  </r>
  <r>
    <n v="100875"/>
    <x v="0"/>
    <x v="4"/>
    <x v="3"/>
    <x v="875"/>
    <n v="98574"/>
    <n v="578767"/>
    <n v="12"/>
    <n v="14"/>
    <d v="2024-06-08T00:00:00"/>
    <n v="0.17030000000000001"/>
    <n v="2.0733732227303906E-2"/>
    <n v="7041"/>
  </r>
  <r>
    <n v="100876"/>
    <x v="2"/>
    <x v="0"/>
    <x v="2"/>
    <x v="876"/>
    <n v="80622"/>
    <n v="856059"/>
    <n v="934"/>
    <n v="7"/>
    <d v="2024-06-02T00:00:00"/>
    <n v="9.4200000000000006E-2"/>
    <n v="1.0910462947063226"/>
    <n v="11517.428571428571"/>
  </r>
  <r>
    <n v="100877"/>
    <x v="2"/>
    <x v="2"/>
    <x v="0"/>
    <x v="877"/>
    <n v="26713"/>
    <n v="194511"/>
    <n v="2219"/>
    <n v="21"/>
    <d v="2024-06-17T00:00:00"/>
    <n v="0.13730000000000001"/>
    <n v="11.408095171995415"/>
    <n v="1272.047619047619"/>
  </r>
  <r>
    <n v="100878"/>
    <x v="1"/>
    <x v="4"/>
    <x v="1"/>
    <x v="878"/>
    <n v="8077"/>
    <n v="245907"/>
    <n v="4225"/>
    <n v="29"/>
    <d v="2024-06-26T00:00:00"/>
    <n v="3.2800000000000003E-2"/>
    <n v="17.181292114498572"/>
    <n v="278.51724137931035"/>
  </r>
  <r>
    <n v="100879"/>
    <x v="1"/>
    <x v="2"/>
    <x v="1"/>
    <x v="879"/>
    <n v="31308"/>
    <n v="996074"/>
    <n v="66"/>
    <n v="5"/>
    <d v="2024-06-03T00:00:00"/>
    <n v="3.1399999999999997E-2"/>
    <n v="6.6260137299036015E-2"/>
    <n v="6261.6"/>
  </r>
  <r>
    <n v="100880"/>
    <x v="1"/>
    <x v="6"/>
    <x v="0"/>
    <x v="880"/>
    <n v="62743"/>
    <n v="157929"/>
    <n v="4056"/>
    <n v="25"/>
    <d v="2024-06-24T00:00:00"/>
    <n v="0.39729999999999999"/>
    <n v="25.682426913359802"/>
    <n v="2509.7199999999998"/>
  </r>
  <r>
    <n v="100881"/>
    <x v="1"/>
    <x v="4"/>
    <x v="2"/>
    <x v="881"/>
    <n v="8798"/>
    <n v="392153"/>
    <n v="4861"/>
    <n v="19"/>
    <d v="2024-06-19T00:00:00"/>
    <n v="2.24E-2"/>
    <n v="12.395672097370159"/>
    <n v="463.05263157894734"/>
  </r>
  <r>
    <n v="100882"/>
    <x v="3"/>
    <x v="0"/>
    <x v="1"/>
    <x v="882"/>
    <n v="2532"/>
    <n v="85785"/>
    <n v="3176"/>
    <n v="15"/>
    <d v="2024-06-16T00:00:00"/>
    <n v="2.9499999999999998E-2"/>
    <n v="37.022789531969465"/>
    <n v="168.8"/>
  </r>
  <r>
    <n v="100883"/>
    <x v="1"/>
    <x v="3"/>
    <x v="1"/>
    <x v="883"/>
    <n v="22197"/>
    <n v="765841"/>
    <n v="1467"/>
    <n v="23"/>
    <d v="2024-06-25T00:00:00"/>
    <n v="2.9000000000000001E-2"/>
    <n v="1.9155412154742302"/>
    <n v="965.08695652173913"/>
  </r>
  <r>
    <n v="100884"/>
    <x v="2"/>
    <x v="0"/>
    <x v="1"/>
    <x v="884"/>
    <n v="99394"/>
    <n v="57012"/>
    <n v="1837"/>
    <n v="20"/>
    <d v="2024-06-23T00:00:00"/>
    <n v="1.7434000000000001"/>
    <n v="32.221286746649824"/>
    <n v="4969.7"/>
  </r>
  <r>
    <n v="100885"/>
    <x v="2"/>
    <x v="4"/>
    <x v="0"/>
    <x v="885"/>
    <n v="9803"/>
    <n v="894048"/>
    <n v="3542"/>
    <n v="19"/>
    <d v="2024-06-23T00:00:00"/>
    <n v="1.0999999999999999E-2"/>
    <n v="3.9617559683596406"/>
    <n v="515.9473684210526"/>
  </r>
  <r>
    <n v="100886"/>
    <x v="2"/>
    <x v="3"/>
    <x v="0"/>
    <x v="886"/>
    <n v="87152"/>
    <n v="250231"/>
    <n v="708"/>
    <n v="14"/>
    <d v="2024-06-19T00:00:00"/>
    <n v="0.3483"/>
    <n v="2.8293856476615611"/>
    <n v="6225.1428571428569"/>
  </r>
  <r>
    <n v="100887"/>
    <x v="2"/>
    <x v="6"/>
    <x v="3"/>
    <x v="887"/>
    <n v="30987"/>
    <n v="123623"/>
    <n v="320"/>
    <n v="7"/>
    <d v="2024-06-13T00:00:00"/>
    <n v="0.25069999999999998"/>
    <n v="2.5885150821449083"/>
    <n v="4426.7142857142853"/>
  </r>
  <r>
    <n v="100888"/>
    <x v="2"/>
    <x v="5"/>
    <x v="2"/>
    <x v="888"/>
    <n v="30626"/>
    <n v="34019"/>
    <n v="3265"/>
    <n v="26"/>
    <d v="2024-07-03T00:00:00"/>
    <n v="0.90029999999999999"/>
    <n v="95.975778241570879"/>
    <n v="1177.9230769230769"/>
  </r>
  <r>
    <n v="100889"/>
    <x v="1"/>
    <x v="1"/>
    <x v="2"/>
    <x v="889"/>
    <n v="65962"/>
    <n v="763905"/>
    <n v="4892"/>
    <n v="18"/>
    <d v="2024-06-26T00:00:00"/>
    <n v="8.6300000000000002E-2"/>
    <n v="6.4039376624056654"/>
    <n v="3664.5555555555557"/>
  </r>
  <r>
    <n v="100890"/>
    <x v="2"/>
    <x v="1"/>
    <x v="4"/>
    <x v="890"/>
    <n v="22763"/>
    <n v="460744"/>
    <n v="4733"/>
    <n v="10"/>
    <d v="2024-06-19T00:00:00"/>
    <n v="4.9399999999999999E-2"/>
    <n v="10.27251575712326"/>
    <n v="2276.3000000000002"/>
  </r>
  <r>
    <n v="100891"/>
    <x v="3"/>
    <x v="6"/>
    <x v="2"/>
    <x v="891"/>
    <n v="3762"/>
    <n v="814428"/>
    <n v="1758"/>
    <n v="20"/>
    <d v="2024-06-30T00:00:00"/>
    <n v="4.5999999999999999E-3"/>
    <n v="2.158570186683169"/>
    <n v="188.1"/>
  </r>
  <r>
    <n v="100892"/>
    <x v="2"/>
    <x v="4"/>
    <x v="2"/>
    <x v="892"/>
    <n v="44300"/>
    <n v="365165"/>
    <n v="394"/>
    <n v="29"/>
    <d v="2024-07-10T00:00:00"/>
    <n v="0.12130000000000001"/>
    <n v="1.0789643038078678"/>
    <n v="1527.5862068965516"/>
  </r>
  <r>
    <n v="100893"/>
    <x v="2"/>
    <x v="4"/>
    <x v="3"/>
    <x v="893"/>
    <n v="69961"/>
    <n v="758182"/>
    <n v="1421"/>
    <n v="17"/>
    <d v="2024-06-29T00:00:00"/>
    <n v="9.2299999999999993E-2"/>
    <n v="1.8742201740479201"/>
    <n v="4115.3529411764703"/>
  </r>
  <r>
    <n v="100894"/>
    <x v="0"/>
    <x v="3"/>
    <x v="0"/>
    <x v="894"/>
    <n v="9309"/>
    <n v="355640"/>
    <n v="3543"/>
    <n v="20"/>
    <d v="2024-07-03T00:00:00"/>
    <n v="2.6200000000000001E-2"/>
    <n v="9.9623214486559437"/>
    <n v="465.45"/>
  </r>
  <r>
    <n v="100895"/>
    <x v="0"/>
    <x v="4"/>
    <x v="3"/>
    <x v="895"/>
    <n v="6709"/>
    <n v="169997"/>
    <n v="2409"/>
    <n v="1"/>
    <d v="2024-06-15T00:00:00"/>
    <n v="3.95E-2"/>
    <n v="14.170838308911334"/>
    <n v="6709"/>
  </r>
  <r>
    <n v="100896"/>
    <x v="2"/>
    <x v="4"/>
    <x v="0"/>
    <x v="896"/>
    <n v="4271"/>
    <n v="832812"/>
    <n v="1342"/>
    <n v="24"/>
    <d v="2024-07-09T00:00:00"/>
    <n v="5.1000000000000004E-3"/>
    <n v="1.6114080969054239"/>
    <n v="177.95833333333334"/>
  </r>
  <r>
    <n v="100897"/>
    <x v="2"/>
    <x v="6"/>
    <x v="2"/>
    <x v="897"/>
    <n v="65423"/>
    <n v="363530"/>
    <n v="3255"/>
    <n v="22"/>
    <d v="2024-07-08T00:00:00"/>
    <n v="0.18"/>
    <n v="8.9538690066844548"/>
    <n v="2973.7727272727275"/>
  </r>
  <r>
    <n v="100898"/>
    <x v="2"/>
    <x v="0"/>
    <x v="0"/>
    <x v="898"/>
    <n v="38168"/>
    <n v="432390"/>
    <n v="2799"/>
    <n v="18"/>
    <d v="2024-07-05T00:00:00"/>
    <n v="8.8300000000000003E-2"/>
    <n v="6.4733226947894265"/>
    <n v="2120.4444444444443"/>
  </r>
  <r>
    <n v="100899"/>
    <x v="1"/>
    <x v="1"/>
    <x v="2"/>
    <x v="899"/>
    <n v="96783"/>
    <n v="84870"/>
    <n v="738"/>
    <n v="1"/>
    <d v="2024-06-19T00:00:00"/>
    <n v="1.1404000000000001"/>
    <n v="8.695652173913043"/>
    <n v="96783"/>
  </r>
  <r>
    <n v="100900"/>
    <x v="1"/>
    <x v="2"/>
    <x v="0"/>
    <x v="900"/>
    <n v="79677"/>
    <n v="971547"/>
    <n v="53"/>
    <n v="5"/>
    <d v="2024-06-24T00:00:00"/>
    <n v="8.2000000000000003E-2"/>
    <n v="5.4552172977735514E-2"/>
    <n v="15935.4"/>
  </r>
  <r>
    <n v="100901"/>
    <x v="2"/>
    <x v="3"/>
    <x v="0"/>
    <x v="901"/>
    <n v="59219"/>
    <n v="486773"/>
    <n v="618"/>
    <n v="7"/>
    <d v="2024-06-27T00:00:00"/>
    <n v="0.1217"/>
    <n v="1.2695856179369027"/>
    <n v="8459.8571428571431"/>
  </r>
  <r>
    <n v="100902"/>
    <x v="2"/>
    <x v="6"/>
    <x v="3"/>
    <x v="902"/>
    <n v="58989"/>
    <n v="845793"/>
    <n v="4769"/>
    <n v="13"/>
    <d v="2024-07-04T00:00:00"/>
    <n v="6.9699999999999998E-2"/>
    <n v="5.6384954711140907"/>
    <n v="4537.6153846153848"/>
  </r>
  <r>
    <n v="100903"/>
    <x v="1"/>
    <x v="3"/>
    <x v="1"/>
    <x v="903"/>
    <n v="56480"/>
    <n v="250018"/>
    <n v="107"/>
    <n v="13"/>
    <d v="2024-07-05T00:00:00"/>
    <n v="0.22589999999999999"/>
    <n v="0.42796918621859226"/>
    <n v="4344.6153846153848"/>
  </r>
  <r>
    <n v="100904"/>
    <x v="3"/>
    <x v="0"/>
    <x v="3"/>
    <x v="904"/>
    <n v="33260"/>
    <n v="986239"/>
    <n v="2272"/>
    <n v="10"/>
    <d v="2024-07-03T00:00:00"/>
    <n v="3.3700000000000001E-2"/>
    <n v="2.3037012326626707"/>
    <n v="3326"/>
  </r>
  <r>
    <n v="100905"/>
    <x v="1"/>
    <x v="2"/>
    <x v="2"/>
    <x v="905"/>
    <n v="79757"/>
    <n v="195407"/>
    <n v="1680"/>
    <n v="22"/>
    <d v="2024-07-16T00:00:00"/>
    <n v="0.40820000000000001"/>
    <n v="8.5974402145266033"/>
    <n v="3625.318181818182"/>
  </r>
  <r>
    <n v="100906"/>
    <x v="1"/>
    <x v="0"/>
    <x v="2"/>
    <x v="906"/>
    <n v="76418"/>
    <n v="344209"/>
    <n v="419"/>
    <n v="18"/>
    <d v="2024-07-13T00:00:00"/>
    <n v="0.222"/>
    <n v="1.2172836852028854"/>
    <n v="4245.4444444444443"/>
  </r>
  <r>
    <n v="100907"/>
    <x v="2"/>
    <x v="4"/>
    <x v="2"/>
    <x v="907"/>
    <n v="60596"/>
    <n v="828327"/>
    <n v="2325"/>
    <n v="23"/>
    <d v="2024-07-19T00:00:00"/>
    <n v="7.3200000000000001E-2"/>
    <n v="2.806862507198244"/>
    <n v="2634.608695652174"/>
  </r>
  <r>
    <n v="100908"/>
    <x v="2"/>
    <x v="6"/>
    <x v="1"/>
    <x v="908"/>
    <n v="57079"/>
    <n v="161545"/>
    <n v="3949"/>
    <n v="28"/>
    <d v="2024-07-25T00:00:00"/>
    <n v="0.3533"/>
    <n v="24.445201027577454"/>
    <n v="2038.5357142857142"/>
  </r>
  <r>
    <n v="100909"/>
    <x v="2"/>
    <x v="5"/>
    <x v="1"/>
    <x v="909"/>
    <n v="40035"/>
    <n v="820742"/>
    <n v="4858"/>
    <n v="22"/>
    <d v="2024-07-20T00:00:00"/>
    <n v="4.8800000000000003E-2"/>
    <n v="5.9190342397489104"/>
    <n v="1819.7727272727273"/>
  </r>
  <r>
    <n v="100910"/>
    <x v="0"/>
    <x v="3"/>
    <x v="2"/>
    <x v="910"/>
    <n v="84720"/>
    <n v="962717"/>
    <n v="3501"/>
    <n v="19"/>
    <d v="2024-07-18T00:00:00"/>
    <n v="8.7999999999999995E-2"/>
    <n v="3.6365827132999629"/>
    <n v="4458.9473684210525"/>
  </r>
  <r>
    <n v="100911"/>
    <x v="0"/>
    <x v="6"/>
    <x v="3"/>
    <x v="911"/>
    <n v="3280"/>
    <n v="664996"/>
    <n v="1074"/>
    <n v="12"/>
    <d v="2024-07-12T00:00:00"/>
    <n v="4.8999999999999998E-3"/>
    <n v="1.6150473085552395"/>
    <n v="273.33333333333331"/>
  </r>
  <r>
    <n v="100912"/>
    <x v="3"/>
    <x v="4"/>
    <x v="2"/>
    <x v="912"/>
    <n v="52825"/>
    <n v="987501"/>
    <n v="4768"/>
    <n v="6"/>
    <d v="2024-07-07T00:00:00"/>
    <n v="5.3499999999999999E-2"/>
    <n v="4.8283495409118569"/>
    <n v="8804.1666666666661"/>
  </r>
  <r>
    <n v="100913"/>
    <x v="3"/>
    <x v="2"/>
    <x v="2"/>
    <x v="913"/>
    <n v="98283"/>
    <n v="84939"/>
    <n v="4028"/>
    <n v="8"/>
    <d v="2024-07-10T00:00:00"/>
    <n v="1.1571"/>
    <n v="47.422267745087652"/>
    <n v="12285.375"/>
  </r>
  <r>
    <n v="100914"/>
    <x v="3"/>
    <x v="1"/>
    <x v="4"/>
    <x v="914"/>
    <n v="20933"/>
    <n v="158981"/>
    <n v="1506"/>
    <n v="20"/>
    <d v="2024-07-23T00:00:00"/>
    <n v="0.13170000000000001"/>
    <n v="9.472830086614124"/>
    <n v="1046.6500000000001"/>
  </r>
  <r>
    <n v="100915"/>
    <x v="3"/>
    <x v="0"/>
    <x v="4"/>
    <x v="915"/>
    <n v="80289"/>
    <n v="273306"/>
    <n v="1505"/>
    <n v="10"/>
    <d v="2024-07-14T00:00:00"/>
    <n v="0.29380000000000001"/>
    <n v="5.5066482257981892"/>
    <n v="8028.9"/>
  </r>
  <r>
    <n v="100916"/>
    <x v="2"/>
    <x v="1"/>
    <x v="0"/>
    <x v="916"/>
    <n v="96220"/>
    <n v="970982"/>
    <n v="960"/>
    <n v="23"/>
    <d v="2024-07-28T00:00:00"/>
    <n v="9.9099999999999994E-2"/>
    <n v="0.98868980063482126"/>
    <n v="4183.478260869565"/>
  </r>
  <r>
    <n v="100917"/>
    <x v="2"/>
    <x v="0"/>
    <x v="4"/>
    <x v="917"/>
    <n v="46514"/>
    <n v="290732"/>
    <n v="1043"/>
    <n v="12"/>
    <d v="2024-07-18T00:00:00"/>
    <n v="0.16"/>
    <n v="3.5874963884264544"/>
    <n v="3876.1666666666665"/>
  </r>
  <r>
    <n v="100918"/>
    <x v="2"/>
    <x v="3"/>
    <x v="4"/>
    <x v="918"/>
    <n v="54995"/>
    <n v="841989"/>
    <n v="1661"/>
    <n v="9"/>
    <d v="2024-07-16T00:00:00"/>
    <n v="6.5299999999999997E-2"/>
    <n v="1.9727098572546675"/>
    <n v="6110.5555555555557"/>
  </r>
  <r>
    <n v="100919"/>
    <x v="1"/>
    <x v="2"/>
    <x v="1"/>
    <x v="919"/>
    <n v="22055"/>
    <n v="624188"/>
    <n v="3427"/>
    <n v="19"/>
    <d v="2024-07-27T00:00:00"/>
    <n v="3.5299999999999998E-2"/>
    <n v="5.4903330406864592"/>
    <n v="1160.7894736842106"/>
  </r>
  <r>
    <n v="100920"/>
    <x v="2"/>
    <x v="0"/>
    <x v="0"/>
    <x v="920"/>
    <n v="89086"/>
    <n v="618968"/>
    <n v="4317"/>
    <n v="18"/>
    <d v="2024-07-27T00:00:00"/>
    <n v="0.1439"/>
    <n v="6.9745124142120432"/>
    <n v="4949.2222222222226"/>
  </r>
  <r>
    <n v="100921"/>
    <x v="0"/>
    <x v="3"/>
    <x v="0"/>
    <x v="921"/>
    <n v="89710"/>
    <n v="400715"/>
    <n v="4234"/>
    <n v="23"/>
    <d v="2024-08-02T00:00:00"/>
    <n v="0.22389999999999999"/>
    <n v="10.566113072882223"/>
    <n v="3900.4347826086955"/>
  </r>
  <r>
    <n v="100922"/>
    <x v="1"/>
    <x v="1"/>
    <x v="1"/>
    <x v="922"/>
    <n v="65907"/>
    <n v="491545"/>
    <n v="4143"/>
    <n v="9"/>
    <d v="2024-07-20T00:00:00"/>
    <n v="0.1341"/>
    <n v="8.4285263811044757"/>
    <n v="7323"/>
  </r>
  <r>
    <n v="100923"/>
    <x v="1"/>
    <x v="2"/>
    <x v="4"/>
    <x v="923"/>
    <n v="14524"/>
    <n v="340308"/>
    <n v="3091"/>
    <n v="13"/>
    <d v="2024-07-25T00:00:00"/>
    <n v="4.2700000000000002E-2"/>
    <n v="9.0829483879309318"/>
    <n v="1117.2307692307693"/>
  </r>
  <r>
    <n v="100924"/>
    <x v="2"/>
    <x v="4"/>
    <x v="2"/>
    <x v="924"/>
    <n v="11541"/>
    <n v="700230"/>
    <n v="1320"/>
    <n v="18"/>
    <d v="2024-07-31T00:00:00"/>
    <n v="1.6500000000000001E-2"/>
    <n v="1.8850948973908572"/>
    <n v="641.16666666666663"/>
  </r>
  <r>
    <n v="100925"/>
    <x v="2"/>
    <x v="5"/>
    <x v="1"/>
    <x v="925"/>
    <n v="17455"/>
    <n v="476598"/>
    <n v="1257"/>
    <n v="15"/>
    <d v="2024-07-29T00:00:00"/>
    <n v="3.6600000000000001E-2"/>
    <n v="2.6374428763863884"/>
    <n v="1163.6666666666667"/>
  </r>
  <r>
    <n v="100926"/>
    <x v="2"/>
    <x v="4"/>
    <x v="3"/>
    <x v="926"/>
    <n v="28089"/>
    <n v="678970"/>
    <n v="932"/>
    <n v="27"/>
    <d v="2024-08-11T00:00:00"/>
    <n v="4.1399999999999999E-2"/>
    <n v="1.3726674227138165"/>
    <n v="1040.3333333333333"/>
  </r>
  <r>
    <n v="100927"/>
    <x v="0"/>
    <x v="0"/>
    <x v="4"/>
    <x v="927"/>
    <n v="43803"/>
    <n v="651320"/>
    <n v="611"/>
    <n v="17"/>
    <d v="2024-08-02T00:00:00"/>
    <n v="6.7299999999999999E-2"/>
    <n v="0.93809494564883622"/>
    <n v="2576.6470588235293"/>
  </r>
  <r>
    <n v="100928"/>
    <x v="1"/>
    <x v="1"/>
    <x v="0"/>
    <x v="928"/>
    <n v="33358"/>
    <n v="596036"/>
    <n v="3594"/>
    <n v="12"/>
    <d v="2024-07-29T00:00:00"/>
    <n v="5.6000000000000001E-2"/>
    <n v="6.0298371239321114"/>
    <n v="2779.8333333333335"/>
  </r>
  <r>
    <n v="100929"/>
    <x v="0"/>
    <x v="1"/>
    <x v="0"/>
    <x v="929"/>
    <n v="52595"/>
    <n v="315279"/>
    <n v="4036"/>
    <n v="9"/>
    <d v="2024-07-27T00:00:00"/>
    <n v="0.1668"/>
    <n v="12.801360065212082"/>
    <n v="5843.8888888888887"/>
  </r>
  <r>
    <n v="100930"/>
    <x v="2"/>
    <x v="6"/>
    <x v="3"/>
    <x v="930"/>
    <n v="28007"/>
    <n v="765052"/>
    <n v="2168"/>
    <n v="14"/>
    <d v="2024-08-02T00:00:00"/>
    <n v="3.6600000000000001E-2"/>
    <n v="2.8337943041780167"/>
    <n v="2000.5"/>
  </r>
  <r>
    <n v="100931"/>
    <x v="2"/>
    <x v="6"/>
    <x v="4"/>
    <x v="931"/>
    <n v="69451"/>
    <n v="957623"/>
    <n v="4765"/>
    <n v="6"/>
    <d v="2024-07-26T00:00:00"/>
    <n v="7.2499999999999995E-2"/>
    <n v="4.9758621085750869"/>
    <n v="11575.166666666666"/>
  </r>
  <r>
    <n v="100932"/>
    <x v="1"/>
    <x v="0"/>
    <x v="4"/>
    <x v="932"/>
    <n v="65175"/>
    <n v="720471"/>
    <n v="563"/>
    <n v="5"/>
    <d v="2024-07-26T00:00:00"/>
    <n v="9.0499999999999997E-2"/>
    <n v="0.78143325685558473"/>
    <n v="13035"/>
  </r>
  <r>
    <n v="100933"/>
    <x v="0"/>
    <x v="2"/>
    <x v="4"/>
    <x v="933"/>
    <n v="7802"/>
    <n v="204265"/>
    <n v="4682"/>
    <n v="18"/>
    <d v="2024-08-09T00:00:00"/>
    <n v="3.8199999999999998E-2"/>
    <n v="22.921205297040608"/>
    <n v="433.44444444444446"/>
  </r>
  <r>
    <n v="100934"/>
    <x v="0"/>
    <x v="0"/>
    <x v="1"/>
    <x v="934"/>
    <n v="44694"/>
    <n v="138520"/>
    <n v="2280"/>
    <n v="27"/>
    <d v="2024-08-19T00:00:00"/>
    <n v="0.32269999999999999"/>
    <n v="16.459717008374241"/>
    <n v="1655.3333333333333"/>
  </r>
  <r>
    <n v="100935"/>
    <x v="2"/>
    <x v="2"/>
    <x v="1"/>
    <x v="935"/>
    <n v="98614"/>
    <n v="407526"/>
    <n v="2824"/>
    <n v="28"/>
    <d v="2024-08-21T00:00:00"/>
    <n v="0.24199999999999999"/>
    <n v="6.9296192144795663"/>
    <n v="3521.9285714285716"/>
  </r>
  <r>
    <n v="100936"/>
    <x v="3"/>
    <x v="4"/>
    <x v="0"/>
    <x v="936"/>
    <n v="79217"/>
    <n v="575037"/>
    <n v="3426"/>
    <n v="7"/>
    <d v="2024-08-01T00:00:00"/>
    <n v="0.13780000000000001"/>
    <n v="5.9578774931004439"/>
    <n v="11316.714285714286"/>
  </r>
  <r>
    <n v="100937"/>
    <x v="2"/>
    <x v="2"/>
    <x v="3"/>
    <x v="937"/>
    <n v="94469"/>
    <n v="877568"/>
    <n v="4964"/>
    <n v="17"/>
    <d v="2024-08-12T00:00:00"/>
    <n v="0.1076"/>
    <n v="5.656541715285881"/>
    <n v="5557"/>
  </r>
  <r>
    <n v="100938"/>
    <x v="0"/>
    <x v="3"/>
    <x v="0"/>
    <x v="938"/>
    <n v="29279"/>
    <n v="457091"/>
    <n v="531"/>
    <n v="12"/>
    <d v="2024-08-08T00:00:00"/>
    <n v="6.4100000000000004E-2"/>
    <n v="1.1616942796948528"/>
    <n v="2439.9166666666665"/>
  </r>
  <r>
    <n v="100939"/>
    <x v="2"/>
    <x v="2"/>
    <x v="0"/>
    <x v="939"/>
    <n v="53699"/>
    <n v="750206"/>
    <n v="2471"/>
    <n v="24"/>
    <d v="2024-08-21T00:00:00"/>
    <n v="7.1599999999999997E-2"/>
    <n v="3.2937619800428148"/>
    <n v="2237.4583333333335"/>
  </r>
  <r>
    <n v="100940"/>
    <x v="2"/>
    <x v="4"/>
    <x v="4"/>
    <x v="940"/>
    <n v="34661"/>
    <n v="358324"/>
    <n v="2572"/>
    <n v="8"/>
    <d v="2024-08-06T00:00:00"/>
    <n v="9.6699999999999994E-2"/>
    <n v="7.1778613768544668"/>
    <n v="4332.625"/>
  </r>
  <r>
    <n v="100941"/>
    <x v="0"/>
    <x v="3"/>
    <x v="0"/>
    <x v="941"/>
    <n v="66065"/>
    <n v="645941"/>
    <n v="4909"/>
    <n v="4"/>
    <d v="2024-08-03T00:00:00"/>
    <n v="0.1023"/>
    <n v="7.5997653036422825"/>
    <n v="16516.25"/>
  </r>
  <r>
    <n v="100942"/>
    <x v="2"/>
    <x v="2"/>
    <x v="2"/>
    <x v="942"/>
    <n v="22182"/>
    <n v="159598"/>
    <n v="918"/>
    <n v="21"/>
    <d v="2024-08-21T00:00:00"/>
    <n v="0.13900000000000001"/>
    <n v="5.7519517788443464"/>
    <n v="1056.2857142857142"/>
  </r>
  <r>
    <n v="100943"/>
    <x v="1"/>
    <x v="4"/>
    <x v="1"/>
    <x v="943"/>
    <n v="4509"/>
    <n v="569499"/>
    <n v="3548"/>
    <n v="4"/>
    <d v="2024-08-05T00:00:00"/>
    <n v="7.9000000000000008E-3"/>
    <n v="6.2300372783797684"/>
    <n v="1127.25"/>
  </r>
  <r>
    <n v="100944"/>
    <x v="1"/>
    <x v="3"/>
    <x v="0"/>
    <x v="944"/>
    <n v="98389"/>
    <n v="700237"/>
    <n v="2760"/>
    <n v="1"/>
    <d v="2024-08-03T00:00:00"/>
    <n v="0.14050000000000001"/>
    <n v="3.9415226559007879"/>
    <n v="98389"/>
  </r>
  <r>
    <n v="100945"/>
    <x v="2"/>
    <x v="4"/>
    <x v="1"/>
    <x v="945"/>
    <n v="28012"/>
    <n v="669065"/>
    <n v="531"/>
    <n v="3"/>
    <d v="2024-08-06T00:00:00"/>
    <n v="4.19E-2"/>
    <n v="0.79364486260677214"/>
    <n v="9337.3333333333339"/>
  </r>
  <r>
    <n v="100946"/>
    <x v="0"/>
    <x v="3"/>
    <x v="2"/>
    <x v="946"/>
    <n v="35883"/>
    <n v="500784"/>
    <n v="2953"/>
    <n v="26"/>
    <d v="2024-08-30T00:00:00"/>
    <n v="7.17E-2"/>
    <n v="5.8967538899006362"/>
    <n v="1380.1153846153845"/>
  </r>
  <r>
    <n v="100947"/>
    <x v="0"/>
    <x v="4"/>
    <x v="3"/>
    <x v="947"/>
    <n v="26912"/>
    <n v="586022"/>
    <n v="2109"/>
    <n v="17"/>
    <d v="2024-08-22T00:00:00"/>
    <n v="4.5900000000000003E-2"/>
    <n v="3.598840999143377"/>
    <n v="1583.0588235294117"/>
  </r>
  <r>
    <n v="100948"/>
    <x v="0"/>
    <x v="4"/>
    <x v="0"/>
    <x v="948"/>
    <n v="73289"/>
    <n v="521001"/>
    <n v="3016"/>
    <n v="25"/>
    <d v="2024-08-31T00:00:00"/>
    <n v="0.14069999999999999"/>
    <n v="5.7888564513311866"/>
    <n v="2931.56"/>
  </r>
  <r>
    <n v="100949"/>
    <x v="2"/>
    <x v="2"/>
    <x v="0"/>
    <x v="949"/>
    <n v="22590"/>
    <n v="279885"/>
    <n v="977"/>
    <n v="4"/>
    <d v="2024-08-11T00:00:00"/>
    <n v="8.0699999999999994E-2"/>
    <n v="3.4907194026117869"/>
    <n v="5647.5"/>
  </r>
  <r>
    <n v="100950"/>
    <x v="1"/>
    <x v="1"/>
    <x v="1"/>
    <x v="950"/>
    <n v="1208"/>
    <n v="350758"/>
    <n v="4830"/>
    <n v="10"/>
    <d v="2024-08-18T00:00:00"/>
    <n v="3.3999999999999998E-3"/>
    <n v="13.770177729374668"/>
    <n v="120.8"/>
  </r>
  <r>
    <n v="100951"/>
    <x v="2"/>
    <x v="4"/>
    <x v="3"/>
    <x v="951"/>
    <n v="97434"/>
    <n v="983959"/>
    <n v="4849"/>
    <n v="5"/>
    <d v="2024-08-14T00:00:00"/>
    <n v="9.9000000000000005E-2"/>
    <n v="4.9280508639079477"/>
    <n v="19486.8"/>
  </r>
  <r>
    <n v="100952"/>
    <x v="2"/>
    <x v="5"/>
    <x v="4"/>
    <x v="952"/>
    <n v="48694"/>
    <n v="559500"/>
    <n v="4649"/>
    <n v="16"/>
    <d v="2024-08-26T00:00:00"/>
    <n v="8.6999999999999994E-2"/>
    <n v="8.3092046470062542"/>
    <n v="3043.375"/>
  </r>
  <r>
    <n v="100953"/>
    <x v="2"/>
    <x v="0"/>
    <x v="1"/>
    <x v="953"/>
    <n v="38989"/>
    <n v="153817"/>
    <n v="377"/>
    <n v="26"/>
    <d v="2024-09-06T00:00:00"/>
    <n v="0.2535"/>
    <n v="2.4509644577647465"/>
    <n v="1499.5769230769231"/>
  </r>
  <r>
    <n v="100954"/>
    <x v="3"/>
    <x v="3"/>
    <x v="3"/>
    <x v="954"/>
    <n v="58971"/>
    <n v="268554"/>
    <n v="4875"/>
    <n v="4"/>
    <d v="2024-08-16T00:00:00"/>
    <n v="0.21959999999999999"/>
    <n v="18.152773743828057"/>
    <n v="14742.75"/>
  </r>
  <r>
    <n v="100955"/>
    <x v="0"/>
    <x v="6"/>
    <x v="4"/>
    <x v="955"/>
    <n v="40453"/>
    <n v="421532"/>
    <n v="447"/>
    <n v="17"/>
    <d v="2024-08-30T00:00:00"/>
    <n v="9.6000000000000002E-2"/>
    <n v="1.060417714432119"/>
    <n v="2379.5882352941176"/>
  </r>
  <r>
    <n v="100956"/>
    <x v="0"/>
    <x v="1"/>
    <x v="2"/>
    <x v="956"/>
    <n v="65858"/>
    <n v="969351"/>
    <n v="4808"/>
    <n v="7"/>
    <d v="2024-08-21T00:00:00"/>
    <n v="6.7900000000000002E-2"/>
    <n v="4.9600196420079001"/>
    <n v="9408.2857142857138"/>
  </r>
  <r>
    <n v="100957"/>
    <x v="1"/>
    <x v="4"/>
    <x v="3"/>
    <x v="957"/>
    <n v="63148"/>
    <n v="864210"/>
    <n v="4994"/>
    <n v="18"/>
    <d v="2024-09-02T00:00:00"/>
    <n v="7.3099999999999998E-2"/>
    <n v="5.7786880503581308"/>
    <n v="3508.2222222222222"/>
  </r>
  <r>
    <n v="100958"/>
    <x v="1"/>
    <x v="2"/>
    <x v="1"/>
    <x v="958"/>
    <n v="30451"/>
    <n v="779048"/>
    <n v="2058"/>
    <n v="25"/>
    <d v="2024-09-10T00:00:00"/>
    <n v="3.9100000000000003E-2"/>
    <n v="2.6416857497869195"/>
    <n v="1218.04"/>
  </r>
  <r>
    <n v="100959"/>
    <x v="1"/>
    <x v="2"/>
    <x v="2"/>
    <x v="959"/>
    <n v="30469"/>
    <n v="541213"/>
    <n v="4408"/>
    <n v="23"/>
    <d v="2024-09-09T00:00:00"/>
    <n v="5.6300000000000003E-2"/>
    <n v="8.1446676262395776"/>
    <n v="1324.7391304347825"/>
  </r>
  <r>
    <n v="100960"/>
    <x v="1"/>
    <x v="4"/>
    <x v="2"/>
    <x v="960"/>
    <n v="47207"/>
    <n v="842309"/>
    <n v="4939"/>
    <n v="21"/>
    <d v="2024-09-08T00:00:00"/>
    <n v="5.6000000000000001E-2"/>
    <n v="5.8636438646624933"/>
    <n v="2247.9523809523807"/>
  </r>
  <r>
    <n v="100961"/>
    <x v="1"/>
    <x v="1"/>
    <x v="0"/>
    <x v="961"/>
    <n v="87382"/>
    <n v="986466"/>
    <n v="184"/>
    <n v="24"/>
    <d v="2024-09-12T00:00:00"/>
    <n v="8.8599999999999998E-2"/>
    <n v="0.18652442152086335"/>
    <n v="3640.9166666666665"/>
  </r>
  <r>
    <n v="100962"/>
    <x v="2"/>
    <x v="4"/>
    <x v="3"/>
    <x v="962"/>
    <n v="24181"/>
    <n v="513941"/>
    <n v="1052"/>
    <n v="4"/>
    <d v="2024-08-24T00:00:00"/>
    <n v="4.7100000000000003E-2"/>
    <n v="2.0469275656155084"/>
    <n v="6045.25"/>
  </r>
  <r>
    <n v="100963"/>
    <x v="2"/>
    <x v="1"/>
    <x v="4"/>
    <x v="963"/>
    <n v="85825"/>
    <n v="11518"/>
    <n v="4760"/>
    <n v="12"/>
    <d v="2024-09-02T00:00:00"/>
    <n v="7.4513999999999996"/>
    <n v="413.26619204723039"/>
    <n v="7152.083333333333"/>
  </r>
  <r>
    <n v="100964"/>
    <x v="3"/>
    <x v="3"/>
    <x v="3"/>
    <x v="964"/>
    <n v="61969"/>
    <n v="368521"/>
    <n v="4325"/>
    <n v="14"/>
    <d v="2024-09-05T00:00:00"/>
    <n v="0.16819999999999999"/>
    <n v="11.736101877504947"/>
    <n v="4426.3571428571431"/>
  </r>
  <r>
    <n v="100965"/>
    <x v="1"/>
    <x v="3"/>
    <x v="4"/>
    <x v="965"/>
    <n v="34346"/>
    <n v="498013"/>
    <n v="2639"/>
    <n v="11"/>
    <d v="2024-09-03T00:00:00"/>
    <n v="6.9000000000000006E-2"/>
    <n v="5.2990584583133371"/>
    <n v="3122.3636363636365"/>
  </r>
  <r>
    <n v="100966"/>
    <x v="3"/>
    <x v="4"/>
    <x v="1"/>
    <x v="966"/>
    <n v="24338"/>
    <n v="919344"/>
    <n v="298"/>
    <n v="18"/>
    <d v="2024-09-11T00:00:00"/>
    <n v="2.6499999999999999E-2"/>
    <n v="0.32414417236638299"/>
    <n v="1352.1111111111111"/>
  </r>
  <r>
    <n v="100967"/>
    <x v="2"/>
    <x v="4"/>
    <x v="4"/>
    <x v="967"/>
    <n v="20338"/>
    <n v="583306"/>
    <n v="1049"/>
    <n v="13"/>
    <d v="2024-09-07T00:00:00"/>
    <n v="3.49E-2"/>
    <n v="1.798369980764813"/>
    <n v="1564.4615384615386"/>
  </r>
  <r>
    <n v="100968"/>
    <x v="1"/>
    <x v="0"/>
    <x v="1"/>
    <x v="968"/>
    <n v="2423"/>
    <n v="680534"/>
    <n v="1258"/>
    <n v="21"/>
    <d v="2024-09-16T00:00:00"/>
    <n v="3.5999999999999999E-3"/>
    <n v="1.8485483458578116"/>
    <n v="115.38095238095238"/>
  </r>
  <r>
    <n v="100969"/>
    <x v="2"/>
    <x v="6"/>
    <x v="2"/>
    <x v="969"/>
    <n v="4707"/>
    <n v="874765"/>
    <n v="3253"/>
    <n v="13"/>
    <d v="2024-09-09T00:00:00"/>
    <n v="5.4000000000000003E-3"/>
    <n v="3.7187130257840679"/>
    <n v="362.07692307692309"/>
  </r>
  <r>
    <n v="100970"/>
    <x v="2"/>
    <x v="0"/>
    <x v="2"/>
    <x v="970"/>
    <n v="39516"/>
    <n v="708267"/>
    <n v="4203"/>
    <n v="29"/>
    <d v="2024-09-26T00:00:00"/>
    <n v="5.5800000000000002E-2"/>
    <n v="5.9342027794602883"/>
    <n v="1362.6206896551723"/>
  </r>
  <r>
    <n v="100971"/>
    <x v="2"/>
    <x v="3"/>
    <x v="3"/>
    <x v="971"/>
    <n v="13968"/>
    <n v="345818"/>
    <n v="589"/>
    <n v="16"/>
    <d v="2024-09-14T00:00:00"/>
    <n v="4.0399999999999998E-2"/>
    <n v="1.7032080458507077"/>
    <n v="873"/>
  </r>
  <r>
    <n v="100972"/>
    <x v="2"/>
    <x v="2"/>
    <x v="3"/>
    <x v="972"/>
    <n v="11520"/>
    <n v="230813"/>
    <n v="4397"/>
    <n v="15"/>
    <d v="2024-09-14T00:00:00"/>
    <n v="4.99E-2"/>
    <n v="19.050053506518264"/>
    <n v="768"/>
  </r>
  <r>
    <n v="100973"/>
    <x v="3"/>
    <x v="3"/>
    <x v="0"/>
    <x v="973"/>
    <n v="73547"/>
    <n v="281624"/>
    <n v="3134"/>
    <n v="18"/>
    <d v="2024-09-18T00:00:00"/>
    <n v="0.26119999999999999"/>
    <n v="11.128312927875465"/>
    <n v="4085.9444444444443"/>
  </r>
  <r>
    <n v="100974"/>
    <x v="2"/>
    <x v="1"/>
    <x v="1"/>
    <x v="974"/>
    <n v="38487"/>
    <n v="353411"/>
    <n v="792"/>
    <n v="6"/>
    <d v="2024-09-07T00:00:00"/>
    <n v="0.1089"/>
    <n v="2.2410168330923486"/>
    <n v="6414.5"/>
  </r>
  <r>
    <n v="100975"/>
    <x v="1"/>
    <x v="4"/>
    <x v="3"/>
    <x v="975"/>
    <n v="58372"/>
    <n v="444318"/>
    <n v="3729"/>
    <n v="3"/>
    <d v="2024-09-05T00:00:00"/>
    <n v="0.13139999999999999"/>
    <n v="8.3926377054271946"/>
    <n v="19457.333333333332"/>
  </r>
  <r>
    <n v="100976"/>
    <x v="1"/>
    <x v="6"/>
    <x v="3"/>
    <x v="976"/>
    <n v="13159"/>
    <n v="408533"/>
    <n v="2467"/>
    <n v="21"/>
    <d v="2024-09-24T00:00:00"/>
    <n v="3.2199999999999999E-2"/>
    <n v="6.0386798618471458"/>
    <n v="626.61904761904759"/>
  </r>
  <r>
    <n v="100977"/>
    <x v="1"/>
    <x v="5"/>
    <x v="3"/>
    <x v="977"/>
    <n v="70970"/>
    <n v="386654"/>
    <n v="340"/>
    <n v="18"/>
    <d v="2024-09-22T00:00:00"/>
    <n v="0.1835"/>
    <n v="0.87933915076528368"/>
    <n v="3942.7777777777778"/>
  </r>
  <r>
    <n v="100978"/>
    <x v="1"/>
    <x v="4"/>
    <x v="3"/>
    <x v="978"/>
    <n v="12458"/>
    <n v="690320"/>
    <n v="3856"/>
    <n v="2"/>
    <d v="2024-09-07T00:00:00"/>
    <n v="1.7999999999999999E-2"/>
    <n v="5.5858152740757907"/>
    <n v="6229"/>
  </r>
  <r>
    <n v="100979"/>
    <x v="2"/>
    <x v="3"/>
    <x v="0"/>
    <x v="979"/>
    <n v="54008"/>
    <n v="283412"/>
    <n v="1296"/>
    <n v="3"/>
    <d v="2024-09-09T00:00:00"/>
    <n v="0.19059999999999999"/>
    <n v="4.5728480092586059"/>
    <n v="18002.666666666668"/>
  </r>
  <r>
    <n v="100980"/>
    <x v="3"/>
    <x v="5"/>
    <x v="2"/>
    <x v="980"/>
    <n v="94489"/>
    <n v="291659"/>
    <n v="3708"/>
    <n v="26"/>
    <d v="2024-10-03T00:00:00"/>
    <n v="0.32400000000000001"/>
    <n v="12.713477039967909"/>
    <n v="3634.1923076923076"/>
  </r>
  <r>
    <n v="100981"/>
    <x v="0"/>
    <x v="3"/>
    <x v="3"/>
    <x v="981"/>
    <n v="40750"/>
    <n v="583999"/>
    <n v="4079"/>
    <n v="6"/>
    <d v="2024-09-14T00:00:00"/>
    <n v="6.9800000000000001E-2"/>
    <n v="6.9846010010291115"/>
    <n v="6791.666666666667"/>
  </r>
  <r>
    <n v="100982"/>
    <x v="0"/>
    <x v="3"/>
    <x v="0"/>
    <x v="982"/>
    <n v="51278"/>
    <n v="236573"/>
    <n v="1508"/>
    <n v="4"/>
    <d v="2024-09-13T00:00:00"/>
    <n v="0.21679999999999999"/>
    <n v="6.3743537935436416"/>
    <n v="12819.5"/>
  </r>
  <r>
    <n v="100983"/>
    <x v="1"/>
    <x v="3"/>
    <x v="0"/>
    <x v="983"/>
    <n v="47964"/>
    <n v="276234"/>
    <n v="1512"/>
    <n v="17"/>
    <d v="2024-09-27T00:00:00"/>
    <n v="0.1736"/>
    <n v="5.4736201915767069"/>
    <n v="2821.4117647058824"/>
  </r>
  <r>
    <n v="100984"/>
    <x v="2"/>
    <x v="6"/>
    <x v="0"/>
    <x v="984"/>
    <n v="20351"/>
    <n v="453521"/>
    <n v="4136"/>
    <n v="11"/>
    <d v="2024-09-22T00:00:00"/>
    <n v="4.4900000000000002E-2"/>
    <n v="9.1197541017946264"/>
    <n v="1850.090909090909"/>
  </r>
  <r>
    <n v="100985"/>
    <x v="3"/>
    <x v="5"/>
    <x v="3"/>
    <x v="985"/>
    <n v="15889"/>
    <n v="704679"/>
    <n v="4539"/>
    <n v="11"/>
    <d v="2024-09-23T00:00:00"/>
    <n v="2.2499999999999999E-2"/>
    <n v="6.441230688015394"/>
    <n v="1444.4545454545455"/>
  </r>
  <r>
    <n v="100986"/>
    <x v="2"/>
    <x v="0"/>
    <x v="0"/>
    <x v="986"/>
    <n v="9727"/>
    <n v="958908"/>
    <n v="2579"/>
    <n v="23"/>
    <d v="2024-10-06T00:00:00"/>
    <n v="1.01E-2"/>
    <n v="2.6895176596712091"/>
    <n v="422.91304347826087"/>
  </r>
  <r>
    <n v="100987"/>
    <x v="2"/>
    <x v="6"/>
    <x v="4"/>
    <x v="987"/>
    <n v="46920"/>
    <n v="798950"/>
    <n v="3323"/>
    <n v="11"/>
    <d v="2024-09-25T00:00:00"/>
    <n v="5.8700000000000002E-2"/>
    <n v="4.1592089617623129"/>
    <n v="4265.454545454545"/>
  </r>
  <r>
    <n v="100988"/>
    <x v="2"/>
    <x v="5"/>
    <x v="3"/>
    <x v="988"/>
    <n v="90772"/>
    <n v="946166"/>
    <n v="3335"/>
    <n v="26"/>
    <d v="2024-10-11T00:00:00"/>
    <n v="9.5899999999999999E-2"/>
    <n v="3.5247514706721654"/>
    <n v="3491.2307692307691"/>
  </r>
  <r>
    <n v="100989"/>
    <x v="0"/>
    <x v="0"/>
    <x v="3"/>
    <x v="989"/>
    <n v="75539"/>
    <n v="35970"/>
    <n v="2733"/>
    <n v="29"/>
    <d v="2024-10-15T00:00:00"/>
    <n v="2.1000999999999999"/>
    <n v="75.979983319432861"/>
    <n v="2604.7931034482758"/>
  </r>
  <r>
    <n v="100990"/>
    <x v="1"/>
    <x v="0"/>
    <x v="3"/>
    <x v="990"/>
    <n v="43507"/>
    <n v="8926"/>
    <n v="393"/>
    <n v="3"/>
    <d v="2024-09-20T00:00:00"/>
    <n v="4.8742000000000001"/>
    <n v="44.028680259914857"/>
    <n v="14502.333333333334"/>
  </r>
  <r>
    <n v="100991"/>
    <x v="0"/>
    <x v="1"/>
    <x v="2"/>
    <x v="991"/>
    <n v="95332"/>
    <n v="779332"/>
    <n v="3082"/>
    <n v="5"/>
    <d v="2024-09-23T00:00:00"/>
    <n v="0.12230000000000001"/>
    <n v="3.9546688702632511"/>
    <n v="19066.400000000001"/>
  </r>
  <r>
    <n v="100992"/>
    <x v="0"/>
    <x v="1"/>
    <x v="1"/>
    <x v="992"/>
    <n v="93783"/>
    <n v="457078"/>
    <n v="677"/>
    <n v="21"/>
    <d v="2024-10-10T00:00:00"/>
    <n v="0.20519999999999999"/>
    <n v="1.4811476378211159"/>
    <n v="4465.8571428571431"/>
  </r>
  <r>
    <n v="100993"/>
    <x v="2"/>
    <x v="4"/>
    <x v="4"/>
    <x v="993"/>
    <n v="98036"/>
    <n v="542885"/>
    <n v="2046"/>
    <n v="6"/>
    <d v="2024-09-26T00:00:00"/>
    <n v="0.18060000000000001"/>
    <n v="3.7687539718356557"/>
    <n v="16339.333333333334"/>
  </r>
  <r>
    <n v="100994"/>
    <x v="3"/>
    <x v="2"/>
    <x v="4"/>
    <x v="994"/>
    <n v="22563"/>
    <n v="456338"/>
    <n v="4230"/>
    <n v="7"/>
    <d v="2024-09-28T00:00:00"/>
    <n v="4.9399999999999999E-2"/>
    <n v="9.2694450166324085"/>
    <n v="3223.2857142857142"/>
  </r>
  <r>
    <n v="100995"/>
    <x v="1"/>
    <x v="6"/>
    <x v="0"/>
    <x v="995"/>
    <n v="64470"/>
    <n v="327764"/>
    <n v="2838"/>
    <n v="21"/>
    <d v="2024-10-13T00:00:00"/>
    <n v="0.19670000000000001"/>
    <n v="8.6586690423597474"/>
    <n v="3070"/>
  </r>
  <r>
    <n v="100996"/>
    <x v="1"/>
    <x v="1"/>
    <x v="3"/>
    <x v="996"/>
    <n v="27888"/>
    <n v="52993"/>
    <n v="2628"/>
    <n v="9"/>
    <d v="2024-10-02T00:00:00"/>
    <n v="0.52629999999999999"/>
    <n v="49.59145547525145"/>
    <n v="3098.6666666666665"/>
  </r>
  <r>
    <n v="100997"/>
    <x v="2"/>
    <x v="4"/>
    <x v="2"/>
    <x v="997"/>
    <n v="59515"/>
    <n v="924889"/>
    <n v="2787"/>
    <n v="7"/>
    <d v="2024-10-01T00:00:00"/>
    <n v="6.4299999999999996E-2"/>
    <n v="3.0133345731217474"/>
    <n v="8502.1428571428569"/>
  </r>
  <r>
    <n v="100998"/>
    <x v="3"/>
    <x v="1"/>
    <x v="1"/>
    <x v="998"/>
    <n v="25653"/>
    <n v="879661"/>
    <n v="4645"/>
    <n v="15"/>
    <d v="2024-10-10T00:00:00"/>
    <n v="2.92E-2"/>
    <n v="5.2804432616655737"/>
    <n v="1710.2"/>
  </r>
  <r>
    <n v="100999"/>
    <x v="2"/>
    <x v="5"/>
    <x v="2"/>
    <x v="999"/>
    <n v="62616"/>
    <n v="753385"/>
    <n v="3382"/>
    <n v="18"/>
    <d v="2024-10-14T00:00:00"/>
    <n v="8.3099999999999993E-2"/>
    <n v="4.48907265209687"/>
    <n v="3478.6666666666665"/>
  </r>
  <r>
    <n v="101000"/>
    <x v="2"/>
    <x v="4"/>
    <x v="2"/>
    <x v="1000"/>
    <n v="76686"/>
    <n v="845576"/>
    <n v="2046"/>
    <n v="7"/>
    <d v="2024-10-04T00:00:00"/>
    <n v="9.0700000000000003E-2"/>
    <n v="2.419652402622591"/>
    <n v="10955.142857142857"/>
  </r>
  <r>
    <n v="101001"/>
    <x v="1"/>
    <x v="4"/>
    <x v="2"/>
    <x v="1001"/>
    <n v="57151"/>
    <n v="20715"/>
    <n v="3032"/>
    <n v="2"/>
    <d v="2024-09-30T00:00:00"/>
    <n v="2.7589000000000001"/>
    <n v="146.36736664252956"/>
    <n v="28575.5"/>
  </r>
  <r>
    <n v="101002"/>
    <x v="2"/>
    <x v="0"/>
    <x v="3"/>
    <x v="1002"/>
    <n v="75895"/>
    <n v="991422"/>
    <n v="3891"/>
    <n v="17"/>
    <d v="2024-10-16T00:00:00"/>
    <n v="7.6600000000000001E-2"/>
    <n v="3.9246657830873231"/>
    <n v="4464.411764705882"/>
  </r>
  <r>
    <n v="101003"/>
    <x v="2"/>
    <x v="6"/>
    <x v="4"/>
    <x v="1003"/>
    <n v="82255"/>
    <n v="785007"/>
    <n v="10"/>
    <n v="17"/>
    <d v="2024-10-17T00:00:00"/>
    <n v="0.1048"/>
    <n v="1.273873990932565E-2"/>
    <n v="4838.5294117647063"/>
  </r>
  <r>
    <n v="101004"/>
    <x v="1"/>
    <x v="2"/>
    <x v="2"/>
    <x v="1004"/>
    <n v="24607"/>
    <n v="628814"/>
    <n v="1778"/>
    <n v="17"/>
    <d v="2024-10-18T00:00:00"/>
    <n v="3.9100000000000003E-2"/>
    <n v="2.8275451882432643"/>
    <n v="1447.4705882352941"/>
  </r>
  <r>
    <n v="101005"/>
    <x v="2"/>
    <x v="3"/>
    <x v="0"/>
    <x v="1005"/>
    <n v="58262"/>
    <n v="300799"/>
    <n v="190"/>
    <n v="5"/>
    <d v="2024-10-07T00:00:00"/>
    <n v="0.19370000000000001"/>
    <n v="0.63165103607392314"/>
    <n v="11652.4"/>
  </r>
  <r>
    <n v="101006"/>
    <x v="3"/>
    <x v="4"/>
    <x v="3"/>
    <x v="1006"/>
    <n v="24626"/>
    <n v="571171"/>
    <n v="4382"/>
    <n v="1"/>
    <d v="2024-10-04T00:00:00"/>
    <n v="4.3099999999999999E-2"/>
    <n v="7.6719581351294099"/>
    <n v="24626"/>
  </r>
  <r>
    <n v="101007"/>
    <x v="2"/>
    <x v="3"/>
    <x v="3"/>
    <x v="1007"/>
    <n v="48969"/>
    <n v="219369"/>
    <n v="3238"/>
    <n v="14"/>
    <d v="2024-10-18T00:00:00"/>
    <n v="0.22320000000000001"/>
    <n v="14.760517666580053"/>
    <n v="3497.7857142857142"/>
  </r>
  <r>
    <n v="101008"/>
    <x v="0"/>
    <x v="2"/>
    <x v="3"/>
    <x v="1008"/>
    <n v="94580"/>
    <n v="175391"/>
    <n v="2750"/>
    <n v="2"/>
    <d v="2024-10-07T00:00:00"/>
    <n v="0.5393"/>
    <n v="15.679253781550935"/>
    <n v="47290"/>
  </r>
  <r>
    <n v="101009"/>
    <x v="1"/>
    <x v="1"/>
    <x v="0"/>
    <x v="1009"/>
    <n v="67950"/>
    <n v="259651"/>
    <n v="1306"/>
    <n v="4"/>
    <d v="2024-10-10T00:00:00"/>
    <n v="0.26169999999999999"/>
    <n v="5.0298285005642187"/>
    <n v="16987.5"/>
  </r>
  <r>
    <n v="101010"/>
    <x v="1"/>
    <x v="1"/>
    <x v="2"/>
    <x v="1010"/>
    <n v="69070"/>
    <n v="302234"/>
    <n v="969"/>
    <n v="17"/>
    <d v="2024-10-24T00:00:00"/>
    <n v="0.22850000000000001"/>
    <n v="3.2061250554206344"/>
    <n v="4062.9411764705883"/>
  </r>
  <r>
    <n v="101011"/>
    <x v="1"/>
    <x v="4"/>
    <x v="4"/>
    <x v="1011"/>
    <n v="26194"/>
    <n v="774483"/>
    <n v="2445"/>
    <n v="16"/>
    <d v="2024-10-24T00:00:00"/>
    <n v="3.3799999999999997E-2"/>
    <n v="3.1569446973012965"/>
    <n v="1637.125"/>
  </r>
  <r>
    <n v="101012"/>
    <x v="1"/>
    <x v="6"/>
    <x v="3"/>
    <x v="1012"/>
    <n v="7904"/>
    <n v="22548"/>
    <n v="77"/>
    <n v="1"/>
    <d v="2024-10-10T00:00:00"/>
    <n v="0.35049999999999998"/>
    <n v="3.4149370232393119"/>
    <n v="7904"/>
  </r>
  <r>
    <n v="101013"/>
    <x v="3"/>
    <x v="1"/>
    <x v="3"/>
    <x v="1013"/>
    <n v="49247"/>
    <n v="823477"/>
    <n v="1292"/>
    <n v="4"/>
    <d v="2024-10-14T00:00:00"/>
    <n v="5.9799999999999999E-2"/>
    <n v="1.5689569957630876"/>
    <n v="12311.75"/>
  </r>
  <r>
    <n v="101014"/>
    <x v="2"/>
    <x v="5"/>
    <x v="3"/>
    <x v="1014"/>
    <n v="21452"/>
    <n v="630310"/>
    <n v="663"/>
    <n v="16"/>
    <d v="2024-10-27T00:00:00"/>
    <n v="3.4000000000000002E-2"/>
    <n v="1.0518633688185179"/>
    <n v="1340.75"/>
  </r>
  <r>
    <n v="101015"/>
    <x v="2"/>
    <x v="6"/>
    <x v="0"/>
    <x v="1015"/>
    <n v="51315"/>
    <n v="256142"/>
    <n v="915"/>
    <n v="27"/>
    <d v="2024-11-08T00:00:00"/>
    <n v="0.20030000000000001"/>
    <n v="3.5722372746367252"/>
    <n v="1900.5555555555557"/>
  </r>
  <r>
    <n v="101016"/>
    <x v="1"/>
    <x v="0"/>
    <x v="4"/>
    <x v="1016"/>
    <n v="70315"/>
    <n v="846834"/>
    <n v="4815"/>
    <n v="20"/>
    <d v="2024-11-02T00:00:00"/>
    <n v="8.3000000000000004E-2"/>
    <n v="5.6858841284124164"/>
    <n v="3515.75"/>
  </r>
  <r>
    <n v="101017"/>
    <x v="0"/>
    <x v="3"/>
    <x v="2"/>
    <x v="1017"/>
    <n v="73541"/>
    <n v="94547"/>
    <n v="2012"/>
    <n v="14"/>
    <d v="2024-10-28T00:00:00"/>
    <n v="0.77780000000000005"/>
    <n v="21.280421377727478"/>
    <n v="5252.9285714285716"/>
  </r>
  <r>
    <n v="101018"/>
    <x v="2"/>
    <x v="4"/>
    <x v="2"/>
    <x v="1018"/>
    <n v="31960"/>
    <n v="293661"/>
    <n v="429"/>
    <n v="23"/>
    <d v="2024-11-07T00:00:00"/>
    <n v="0.10879999999999999"/>
    <n v="1.4608681438801883"/>
    <n v="1389.5652173913043"/>
  </r>
  <r>
    <n v="101019"/>
    <x v="1"/>
    <x v="0"/>
    <x v="1"/>
    <x v="1019"/>
    <n v="24179"/>
    <n v="520700"/>
    <n v="2082"/>
    <n v="14"/>
    <d v="2024-10-30T00:00:00"/>
    <n v="4.6399999999999997E-2"/>
    <n v="3.9984636066833112"/>
    <n v="1727.0714285714287"/>
  </r>
  <r>
    <n v="101020"/>
    <x v="0"/>
    <x v="0"/>
    <x v="2"/>
    <x v="1020"/>
    <n v="82556"/>
    <n v="710493"/>
    <n v="700"/>
    <n v="28"/>
    <d v="2024-11-14T00:00:00"/>
    <n v="0.1162"/>
    <n v="0.98523138158996648"/>
    <n v="2948.4285714285716"/>
  </r>
  <r>
    <n v="101021"/>
    <x v="0"/>
    <x v="3"/>
    <x v="2"/>
    <x v="1021"/>
    <n v="84862"/>
    <n v="901550"/>
    <n v="1658"/>
    <n v="25"/>
    <d v="2024-11-12T00:00:00"/>
    <n v="9.4100000000000003E-2"/>
    <n v="1.839054960900671"/>
    <n v="3394.48"/>
  </r>
  <r>
    <n v="101022"/>
    <x v="3"/>
    <x v="3"/>
    <x v="0"/>
    <x v="1022"/>
    <n v="76110"/>
    <n v="892070"/>
    <n v="2419"/>
    <n v="24"/>
    <d v="2024-11-12T00:00:00"/>
    <n v="8.5300000000000001E-2"/>
    <n v="2.7116706088087259"/>
    <n v="3171.25"/>
  </r>
  <r>
    <n v="101023"/>
    <x v="1"/>
    <x v="2"/>
    <x v="4"/>
    <x v="1023"/>
    <n v="61535"/>
    <n v="637899"/>
    <n v="2292"/>
    <n v="18"/>
    <d v="2024-11-07T00:00:00"/>
    <n v="9.6500000000000002E-2"/>
    <n v="3.5930452940042232"/>
    <n v="3418.6111111111113"/>
  </r>
  <r>
    <n v="101024"/>
    <x v="1"/>
    <x v="5"/>
    <x v="1"/>
    <x v="1024"/>
    <n v="73544"/>
    <n v="464292"/>
    <n v="65"/>
    <n v="18"/>
    <d v="2024-11-08T00:00:00"/>
    <n v="0.15840000000000001"/>
    <n v="0.13999810464104487"/>
    <n v="4085.7777777777778"/>
  </r>
  <r>
    <n v="101025"/>
    <x v="2"/>
    <x v="1"/>
    <x v="0"/>
    <x v="1025"/>
    <n v="61844"/>
    <n v="214838"/>
    <n v="4717"/>
    <n v="11"/>
    <d v="2024-11-02T00:00:00"/>
    <n v="0.28789999999999999"/>
    <n v="21.956078533592752"/>
    <n v="5622.181818181818"/>
  </r>
  <r>
    <n v="101026"/>
    <x v="3"/>
    <x v="1"/>
    <x v="4"/>
    <x v="1026"/>
    <n v="44670"/>
    <n v="767421"/>
    <n v="1439"/>
    <n v="24"/>
    <d v="2024-11-16T00:00:00"/>
    <n v="5.8200000000000002E-2"/>
    <n v="1.8751115750025082"/>
    <n v="1861.25"/>
  </r>
  <r>
    <n v="101027"/>
    <x v="2"/>
    <x v="2"/>
    <x v="0"/>
    <x v="1027"/>
    <n v="74456"/>
    <n v="293489"/>
    <n v="109"/>
    <n v="18"/>
    <d v="2024-11-11T00:00:00"/>
    <n v="0.25369999999999998"/>
    <n v="0.37139381714476521"/>
    <n v="4136.4444444444443"/>
  </r>
  <r>
    <n v="101028"/>
    <x v="0"/>
    <x v="6"/>
    <x v="1"/>
    <x v="1028"/>
    <n v="28617"/>
    <n v="733903"/>
    <n v="2547"/>
    <n v="10"/>
    <d v="2024-11-04T00:00:00"/>
    <n v="3.9E-2"/>
    <n v="3.4704858816492101"/>
    <n v="2861.7"/>
  </r>
  <r>
    <n v="101029"/>
    <x v="1"/>
    <x v="6"/>
    <x v="4"/>
    <x v="1029"/>
    <n v="79602"/>
    <n v="344484"/>
    <n v="404"/>
    <n v="2"/>
    <d v="2024-10-28T00:00:00"/>
    <n v="0.2311"/>
    <n v="1.1727685465798121"/>
    <n v="39801"/>
  </r>
  <r>
    <n v="101030"/>
    <x v="1"/>
    <x v="4"/>
    <x v="0"/>
    <x v="1030"/>
    <n v="17363"/>
    <n v="228642"/>
    <n v="3722"/>
    <n v="20"/>
    <d v="2024-11-16T00:00:00"/>
    <n v="7.5899999999999995E-2"/>
    <n v="16.278723943982296"/>
    <n v="868.15"/>
  </r>
  <r>
    <n v="101031"/>
    <x v="0"/>
    <x v="3"/>
    <x v="2"/>
    <x v="1031"/>
    <n v="57885"/>
    <n v="615330"/>
    <n v="4497"/>
    <n v="9"/>
    <d v="2024-11-06T00:00:00"/>
    <n v="9.4100000000000003E-2"/>
    <n v="7.3082736092828231"/>
    <n v="6431.666666666667"/>
  </r>
  <r>
    <n v="101032"/>
    <x v="1"/>
    <x v="0"/>
    <x v="0"/>
    <x v="1032"/>
    <n v="32595"/>
    <n v="290299"/>
    <n v="3546"/>
    <n v="28"/>
    <d v="2024-11-26T00:00:00"/>
    <n v="0.1123"/>
    <n v="12.214992128805129"/>
    <n v="1164.1071428571429"/>
  </r>
  <r>
    <n v="101033"/>
    <x v="3"/>
    <x v="3"/>
    <x v="3"/>
    <x v="1033"/>
    <n v="53278"/>
    <n v="538349"/>
    <n v="168"/>
    <n v="12"/>
    <d v="2024-11-11T00:00:00"/>
    <n v="9.9000000000000005E-2"/>
    <n v="0.31206522163132094"/>
    <n v="4439.833333333333"/>
  </r>
  <r>
    <n v="101034"/>
    <x v="1"/>
    <x v="4"/>
    <x v="4"/>
    <x v="1034"/>
    <n v="72450"/>
    <n v="862362"/>
    <n v="2193"/>
    <n v="1"/>
    <d v="2024-11-01T00:00:00"/>
    <n v="8.4000000000000005E-2"/>
    <n v="2.543015578144677"/>
    <n v="72450"/>
  </r>
  <r>
    <n v="101035"/>
    <x v="1"/>
    <x v="3"/>
    <x v="3"/>
    <x v="1035"/>
    <n v="97330"/>
    <n v="563023"/>
    <n v="3833"/>
    <n v="19"/>
    <d v="2024-11-20T00:00:00"/>
    <n v="0.1729"/>
    <n v="6.8078923951597003"/>
    <n v="5122.6315789473683"/>
  </r>
  <r>
    <n v="101036"/>
    <x v="2"/>
    <x v="6"/>
    <x v="0"/>
    <x v="1036"/>
    <n v="92953"/>
    <n v="366478"/>
    <n v="895"/>
    <n v="17"/>
    <d v="2024-11-19T00:00:00"/>
    <n v="0.25359999999999999"/>
    <n v="2.4421656961673004"/>
    <n v="5467.8235294117649"/>
  </r>
  <r>
    <n v="101037"/>
    <x v="1"/>
    <x v="6"/>
    <x v="3"/>
    <x v="1037"/>
    <n v="31681"/>
    <n v="435815"/>
    <n v="3635"/>
    <n v="22"/>
    <d v="2024-11-25T00:00:00"/>
    <n v="7.2700000000000001E-2"/>
    <n v="8.3406950196757812"/>
    <n v="1440.0454545454545"/>
  </r>
  <r>
    <n v="101038"/>
    <x v="1"/>
    <x v="0"/>
    <x v="0"/>
    <x v="1038"/>
    <n v="11880"/>
    <n v="188042"/>
    <n v="2271"/>
    <n v="5"/>
    <d v="2024-11-09T00:00:00"/>
    <n v="6.3200000000000006E-2"/>
    <n v="12.077089160932131"/>
    <n v="2376"/>
  </r>
  <r>
    <n v="101039"/>
    <x v="2"/>
    <x v="6"/>
    <x v="3"/>
    <x v="1039"/>
    <n v="24377"/>
    <n v="209808"/>
    <n v="3366"/>
    <n v="25"/>
    <d v="2024-11-30T00:00:00"/>
    <n v="0.1162"/>
    <n v="16.043239533287579"/>
    <n v="975.08"/>
  </r>
  <r>
    <n v="101040"/>
    <x v="2"/>
    <x v="2"/>
    <x v="3"/>
    <x v="1040"/>
    <n v="72152"/>
    <n v="418051"/>
    <n v="4337"/>
    <n v="21"/>
    <d v="2024-11-27T00:00:00"/>
    <n v="0.1726"/>
    <n v="10.374332318305662"/>
    <n v="3435.8095238095239"/>
  </r>
  <r>
    <n v="101041"/>
    <x v="1"/>
    <x v="1"/>
    <x v="1"/>
    <x v="1041"/>
    <n v="32278"/>
    <n v="949979"/>
    <n v="314"/>
    <n v="6"/>
    <d v="2024-11-13T00:00:00"/>
    <n v="3.4000000000000002E-2"/>
    <n v="0.33053362232217764"/>
    <n v="5379.666666666667"/>
  </r>
  <r>
    <n v="101042"/>
    <x v="1"/>
    <x v="5"/>
    <x v="2"/>
    <x v="1042"/>
    <n v="68341"/>
    <n v="312578"/>
    <n v="3482"/>
    <n v="14"/>
    <d v="2024-11-22T00:00:00"/>
    <n v="0.21859999999999999"/>
    <n v="11.139619550960079"/>
    <n v="4881.5"/>
  </r>
  <r>
    <n v="101043"/>
    <x v="1"/>
    <x v="3"/>
    <x v="0"/>
    <x v="1043"/>
    <n v="79804"/>
    <n v="806063"/>
    <n v="4279"/>
    <n v="6"/>
    <d v="2024-11-15T00:00:00"/>
    <n v="9.9000000000000005E-2"/>
    <n v="5.3085180686869391"/>
    <n v="13300.666666666666"/>
  </r>
  <r>
    <n v="101044"/>
    <x v="2"/>
    <x v="1"/>
    <x v="1"/>
    <x v="1044"/>
    <n v="24817"/>
    <n v="209006"/>
    <n v="453"/>
    <n v="23"/>
    <d v="2024-12-03T00:00:00"/>
    <n v="0.1187"/>
    <n v="2.1674018927686287"/>
    <n v="1079"/>
  </r>
  <r>
    <n v="101045"/>
    <x v="2"/>
    <x v="4"/>
    <x v="0"/>
    <x v="1045"/>
    <n v="50816"/>
    <n v="333523"/>
    <n v="2167"/>
    <n v="29"/>
    <d v="2024-12-10T00:00:00"/>
    <n v="0.15240000000000001"/>
    <n v="6.4973030345733278"/>
    <n v="1752.2758620689656"/>
  </r>
  <r>
    <n v="101046"/>
    <x v="2"/>
    <x v="2"/>
    <x v="3"/>
    <x v="1046"/>
    <n v="84200"/>
    <n v="887944"/>
    <n v="2539"/>
    <n v="9"/>
    <d v="2024-11-21T00:00:00"/>
    <n v="9.4799999999999995E-2"/>
    <n v="2.8594145576748087"/>
    <n v="9355.5555555555547"/>
  </r>
  <r>
    <n v="101047"/>
    <x v="0"/>
    <x v="4"/>
    <x v="2"/>
    <x v="1047"/>
    <n v="19468"/>
    <n v="764568"/>
    <n v="2730"/>
    <n v="28"/>
    <d v="2024-12-11T00:00:00"/>
    <n v="2.5499999999999998E-2"/>
    <n v="3.5706438145462536"/>
    <n v="695.28571428571433"/>
  </r>
  <r>
    <n v="101048"/>
    <x v="0"/>
    <x v="2"/>
    <x v="0"/>
    <x v="1048"/>
    <n v="719"/>
    <n v="677206"/>
    <n v="4880"/>
    <n v="4"/>
    <d v="2024-11-18T00:00:00"/>
    <n v="1.1000000000000001E-3"/>
    <n v="7.2060790955780067"/>
    <n v="179.75"/>
  </r>
  <r>
    <n v="101049"/>
    <x v="2"/>
    <x v="2"/>
    <x v="4"/>
    <x v="1049"/>
    <n v="94947"/>
    <n v="704081"/>
    <n v="2"/>
    <n v="25"/>
    <d v="2024-12-10T00:00:00"/>
    <n v="0.13489999999999999"/>
    <n v="2.8405822625521778E-3"/>
    <n v="3797.88"/>
  </r>
  <r>
    <n v="101050"/>
    <x v="1"/>
    <x v="2"/>
    <x v="0"/>
    <x v="1050"/>
    <n v="93134"/>
    <n v="210252"/>
    <n v="764"/>
    <n v="24"/>
    <d v="2024-12-10T00:00:00"/>
    <n v="0.443"/>
    <n v="3.6337347563875726"/>
    <n v="3880.5833333333335"/>
  </r>
  <r>
    <n v="101051"/>
    <x v="2"/>
    <x v="5"/>
    <x v="3"/>
    <x v="1051"/>
    <n v="84001"/>
    <n v="425080"/>
    <n v="1802"/>
    <n v="24"/>
    <d v="2024-12-11T00:00:00"/>
    <n v="0.1976"/>
    <n v="4.2392020325585777"/>
    <n v="3500.0416666666665"/>
  </r>
  <r>
    <n v="101052"/>
    <x v="2"/>
    <x v="1"/>
    <x v="4"/>
    <x v="1052"/>
    <n v="67900"/>
    <n v="876014"/>
    <n v="3699"/>
    <n v="27"/>
    <d v="2024-12-15T00:00:00"/>
    <n v="7.7499999999999999E-2"/>
    <n v="4.222535256285858"/>
    <n v="2514.8148148148148"/>
  </r>
  <r>
    <n v="101053"/>
    <x v="2"/>
    <x v="1"/>
    <x v="1"/>
    <x v="1053"/>
    <n v="76813"/>
    <n v="417099"/>
    <n v="2317"/>
    <n v="14"/>
    <d v="2024-12-03T00:00:00"/>
    <n v="0.1842"/>
    <n v="5.5550360945482966"/>
    <n v="5486.6428571428569"/>
  </r>
  <r>
    <n v="101054"/>
    <x v="2"/>
    <x v="3"/>
    <x v="4"/>
    <x v="1054"/>
    <n v="36084"/>
    <n v="269229"/>
    <n v="3468"/>
    <n v="6"/>
    <d v="2024-11-26T00:00:00"/>
    <n v="0.13400000000000001"/>
    <n v="12.881227505209319"/>
    <n v="6014"/>
  </r>
  <r>
    <n v="101055"/>
    <x v="1"/>
    <x v="5"/>
    <x v="3"/>
    <x v="1055"/>
    <n v="863"/>
    <n v="404881"/>
    <n v="1947"/>
    <n v="3"/>
    <d v="2024-11-24T00:00:00"/>
    <n v="2.0999999999999999E-3"/>
    <n v="4.808820369441885"/>
    <n v="287.66666666666669"/>
  </r>
  <r>
    <n v="101056"/>
    <x v="3"/>
    <x v="4"/>
    <x v="4"/>
    <x v="1056"/>
    <n v="26446"/>
    <n v="98085"/>
    <n v="2749"/>
    <n v="23"/>
    <d v="2024-12-15T00:00:00"/>
    <n v="0.26960000000000001"/>
    <n v="28.026711525717488"/>
    <n v="1149.8260869565217"/>
  </r>
  <r>
    <n v="101057"/>
    <x v="2"/>
    <x v="3"/>
    <x v="3"/>
    <x v="1057"/>
    <n v="57389"/>
    <n v="702464"/>
    <n v="2371"/>
    <n v="8"/>
    <d v="2024-12-01T00:00:00"/>
    <n v="8.1699999999999995E-2"/>
    <n v="3.3752619351311952"/>
    <n v="7173.625"/>
  </r>
  <r>
    <n v="101058"/>
    <x v="1"/>
    <x v="6"/>
    <x v="2"/>
    <x v="1058"/>
    <n v="12420"/>
    <n v="974970"/>
    <n v="4413"/>
    <n v="7"/>
    <d v="2024-12-01T00:00:00"/>
    <n v="1.2699999999999999E-2"/>
    <n v="4.5262931167112841"/>
    <n v="1774.2857142857142"/>
  </r>
  <r>
    <n v="101059"/>
    <x v="0"/>
    <x v="4"/>
    <x v="4"/>
    <x v="1059"/>
    <n v="52315"/>
    <n v="709046"/>
    <n v="1900"/>
    <n v="9"/>
    <d v="2024-12-04T00:00:00"/>
    <n v="7.3800000000000004E-2"/>
    <n v="2.6796568910902816"/>
    <n v="5812.7777777777774"/>
  </r>
  <r>
    <n v="101060"/>
    <x v="3"/>
    <x v="4"/>
    <x v="3"/>
    <x v="1060"/>
    <n v="47790"/>
    <n v="93946"/>
    <n v="2703"/>
    <n v="26"/>
    <d v="2024-12-22T00:00:00"/>
    <n v="0.50870000000000004"/>
    <n v="28.771847657164752"/>
    <n v="1838.0769230769231"/>
  </r>
  <r>
    <n v="101061"/>
    <x v="1"/>
    <x v="0"/>
    <x v="4"/>
    <x v="1061"/>
    <n v="71916"/>
    <n v="424042"/>
    <n v="1998"/>
    <n v="29"/>
    <d v="2024-12-26T00:00:00"/>
    <n v="0.1696"/>
    <n v="4.7117974162936687"/>
    <n v="2479.8620689655172"/>
  </r>
  <r>
    <n v="101062"/>
    <x v="2"/>
    <x v="5"/>
    <x v="3"/>
    <x v="1062"/>
    <n v="35269"/>
    <n v="879229"/>
    <n v="4401"/>
    <n v="19"/>
    <d v="2024-12-17T00:00:00"/>
    <n v="4.0099999999999997E-2"/>
    <n v="5.0055218833773685"/>
    <n v="1856.2631578947369"/>
  </r>
  <r>
    <n v="101063"/>
    <x v="1"/>
    <x v="5"/>
    <x v="2"/>
    <x v="1063"/>
    <n v="35628"/>
    <n v="830082"/>
    <n v="94"/>
    <n v="3"/>
    <d v="2024-12-02T00:00:00"/>
    <n v="4.2900000000000001E-2"/>
    <n v="0.11324182430169551"/>
    <n v="11876"/>
  </r>
  <r>
    <n v="101064"/>
    <x v="2"/>
    <x v="2"/>
    <x v="0"/>
    <x v="1064"/>
    <n v="81033"/>
    <n v="570682"/>
    <n v="3343"/>
    <n v="3"/>
    <d v="2024-12-03T00:00:00"/>
    <n v="0.14199999999999999"/>
    <n v="5.8579033507277254"/>
    <n v="27011"/>
  </r>
  <r>
    <n v="101065"/>
    <x v="3"/>
    <x v="1"/>
    <x v="4"/>
    <x v="1065"/>
    <n v="48881"/>
    <n v="381876"/>
    <n v="4157"/>
    <n v="26"/>
    <d v="2024-12-27T00:00:00"/>
    <n v="0.128"/>
    <n v="10.885732541453248"/>
    <n v="1880.0384615384614"/>
  </r>
  <r>
    <n v="101066"/>
    <x v="2"/>
    <x v="1"/>
    <x v="3"/>
    <x v="1066"/>
    <n v="77234"/>
    <n v="282894"/>
    <n v="980"/>
    <n v="2"/>
    <d v="2024-12-04T00:00:00"/>
    <n v="0.27300000000000002"/>
    <n v="3.4641950695313439"/>
    <n v="38617"/>
  </r>
  <r>
    <n v="101067"/>
    <x v="1"/>
    <x v="2"/>
    <x v="2"/>
    <x v="1067"/>
    <n v="76393"/>
    <n v="275434"/>
    <n v="4924"/>
    <n v="10"/>
    <d v="2024-12-13T00:00:00"/>
    <n v="0.27739999999999998"/>
    <n v="17.877241008735307"/>
    <n v="7639.3"/>
  </r>
  <r>
    <n v="101068"/>
    <x v="2"/>
    <x v="2"/>
    <x v="2"/>
    <x v="1068"/>
    <n v="10537"/>
    <n v="904352"/>
    <n v="4805"/>
    <n v="25"/>
    <d v="2024-12-29T00:00:00"/>
    <n v="1.17E-2"/>
    <n v="5.3131966314001629"/>
    <n v="421.48"/>
  </r>
  <r>
    <n v="101069"/>
    <x v="1"/>
    <x v="3"/>
    <x v="2"/>
    <x v="1069"/>
    <n v="71590"/>
    <n v="983840"/>
    <n v="1882"/>
    <n v="5"/>
    <d v="2024-12-10T00:00:00"/>
    <n v="7.2800000000000004E-2"/>
    <n v="1.9129126687266222"/>
    <n v="14318"/>
  </r>
  <r>
    <n v="101070"/>
    <x v="0"/>
    <x v="2"/>
    <x v="1"/>
    <x v="1070"/>
    <n v="9331"/>
    <n v="182868"/>
    <n v="3624"/>
    <n v="16"/>
    <d v="2024-12-22T00:00:00"/>
    <n v="5.0999999999999997E-2"/>
    <n v="19.817573331583436"/>
    <n v="583.1875"/>
  </r>
  <r>
    <n v="101071"/>
    <x v="1"/>
    <x v="1"/>
    <x v="0"/>
    <x v="1071"/>
    <n v="50790"/>
    <n v="156332"/>
    <n v="1582"/>
    <n v="6"/>
    <d v="2024-12-13T00:00:00"/>
    <n v="0.32490000000000002"/>
    <n v="10.119489292019548"/>
    <n v="8465"/>
  </r>
  <r>
    <n v="101072"/>
    <x v="1"/>
    <x v="6"/>
    <x v="2"/>
    <x v="1072"/>
    <n v="1854"/>
    <n v="690017"/>
    <n v="407"/>
    <n v="1"/>
    <d v="2024-12-09T00:00:00"/>
    <n v="2.7000000000000001E-3"/>
    <n v="0.58984054016060472"/>
    <n v="1854"/>
  </r>
  <r>
    <n v="101073"/>
    <x v="3"/>
    <x v="6"/>
    <x v="3"/>
    <x v="1073"/>
    <n v="46435"/>
    <n v="319538"/>
    <n v="348"/>
    <n v="14"/>
    <d v="2024-12-23T00:00:00"/>
    <n v="0.14530000000000001"/>
    <n v="1.0890723482027178"/>
    <n v="3316.7857142857142"/>
  </r>
  <r>
    <n v="101074"/>
    <x v="0"/>
    <x v="0"/>
    <x v="4"/>
    <x v="1074"/>
    <n v="78401"/>
    <n v="644217"/>
    <n v="2396"/>
    <n v="26"/>
    <d v="2025-01-05T00:00:00"/>
    <n v="0.1217"/>
    <n v="3.7192436709990577"/>
    <n v="3015.4230769230771"/>
  </r>
  <r>
    <n v="101075"/>
    <x v="2"/>
    <x v="6"/>
    <x v="0"/>
    <x v="1075"/>
    <n v="9860"/>
    <n v="315266"/>
    <n v="3876"/>
    <n v="14"/>
    <d v="2024-12-25T00:00:00"/>
    <n v="3.1300000000000001E-2"/>
    <n v="12.294379983886623"/>
    <n v="704.28571428571433"/>
  </r>
  <r>
    <n v="101076"/>
    <x v="1"/>
    <x v="4"/>
    <x v="0"/>
    <x v="1076"/>
    <n v="28032"/>
    <n v="316476"/>
    <n v="4025"/>
    <n v="22"/>
    <d v="2025-01-03T00:00:00"/>
    <n v="8.8599999999999998E-2"/>
    <n v="12.718184001314475"/>
    <n v="1274.1818181818182"/>
  </r>
  <r>
    <n v="101077"/>
    <x v="1"/>
    <x v="4"/>
    <x v="2"/>
    <x v="1077"/>
    <n v="88670"/>
    <n v="687083"/>
    <n v="1238"/>
    <n v="22"/>
    <d v="2025-01-04T00:00:00"/>
    <n v="0.12909999999999999"/>
    <n v="1.8018201585543521"/>
    <n v="4030.4545454545455"/>
  </r>
  <r>
    <n v="101078"/>
    <x v="1"/>
    <x v="6"/>
    <x v="0"/>
    <x v="1078"/>
    <n v="36737"/>
    <n v="374183"/>
    <n v="1277"/>
    <n v="22"/>
    <d v="2025-01-05T00:00:00"/>
    <n v="9.8199999999999996E-2"/>
    <n v="3.4127686185636441"/>
    <n v="1669.8636363636363"/>
  </r>
  <r>
    <n v="101079"/>
    <x v="2"/>
    <x v="6"/>
    <x v="2"/>
    <x v="1079"/>
    <n v="95175"/>
    <n v="963017"/>
    <n v="1965"/>
    <n v="8"/>
    <d v="2024-12-23T00:00:00"/>
    <n v="9.8799999999999999E-2"/>
    <n v="2.0404624217433338"/>
    <n v="11896.875"/>
  </r>
  <r>
    <n v="101080"/>
    <x v="2"/>
    <x v="0"/>
    <x v="0"/>
    <x v="1080"/>
    <n v="66813"/>
    <n v="763296"/>
    <n v="4641"/>
    <n v="27"/>
    <d v="2025-01-12T00:00:00"/>
    <n v="8.7499999999999994E-2"/>
    <n v="6.0802100364733995"/>
    <n v="2474.5555555555557"/>
  </r>
  <r>
    <n v="101081"/>
    <x v="3"/>
    <x v="1"/>
    <x v="0"/>
    <x v="1081"/>
    <n v="83875"/>
    <n v="844484"/>
    <n v="3556"/>
    <n v="18"/>
    <d v="2025-01-04T00:00:00"/>
    <n v="9.9299999999999999E-2"/>
    <n v="4.2108553862476965"/>
    <n v="4659.7222222222226"/>
  </r>
  <r>
    <n v="101082"/>
    <x v="3"/>
    <x v="2"/>
    <x v="1"/>
    <x v="1082"/>
    <n v="60630"/>
    <n v="977470"/>
    <n v="327"/>
    <n v="13"/>
    <d v="2024-12-31T00:00:00"/>
    <n v="6.2E-2"/>
    <n v="0.33453712134387759"/>
    <n v="4663.8461538461543"/>
  </r>
  <r>
    <n v="101083"/>
    <x v="0"/>
    <x v="5"/>
    <x v="4"/>
    <x v="1083"/>
    <n v="14047"/>
    <n v="83533"/>
    <n v="3169"/>
    <n v="17"/>
    <d v="2025-01-05T00:00:00"/>
    <n v="0.16819999999999999"/>
    <n v="37.937102701926186"/>
    <n v="826.29411764705878"/>
  </r>
  <r>
    <n v="101084"/>
    <x v="3"/>
    <x v="0"/>
    <x v="0"/>
    <x v="1084"/>
    <n v="51596"/>
    <n v="588165"/>
    <n v="3590"/>
    <n v="23"/>
    <d v="2025-01-12T00:00:00"/>
    <n v="8.77E-2"/>
    <n v="6.1037293956627821"/>
    <n v="2243.304347826087"/>
  </r>
  <r>
    <n v="101085"/>
    <x v="0"/>
    <x v="4"/>
    <x v="1"/>
    <x v="1085"/>
    <n v="62463"/>
    <n v="727960"/>
    <n v="3889"/>
    <n v="8"/>
    <d v="2024-12-29T00:00:00"/>
    <n v="8.5800000000000001E-2"/>
    <n v="5.3423265014561236"/>
    <n v="7807.875"/>
  </r>
  <r>
    <n v="101086"/>
    <x v="0"/>
    <x v="3"/>
    <x v="3"/>
    <x v="1086"/>
    <n v="68700"/>
    <n v="671990"/>
    <n v="3487"/>
    <n v="3"/>
    <d v="2024-12-25T00:00:00"/>
    <n v="0.1022"/>
    <n v="5.1890653134719269"/>
    <n v="22900"/>
  </r>
  <r>
    <n v="101087"/>
    <x v="0"/>
    <x v="6"/>
    <x v="2"/>
    <x v="1087"/>
    <n v="43669"/>
    <n v="103969"/>
    <n v="2768"/>
    <n v="10"/>
    <d v="2025-01-02T00:00:00"/>
    <n v="0.42"/>
    <n v="26.623320412815357"/>
    <n v="4366.8999999999996"/>
  </r>
  <r>
    <n v="101088"/>
    <x v="1"/>
    <x v="3"/>
    <x v="3"/>
    <x v="1088"/>
    <n v="31251"/>
    <n v="670217"/>
    <n v="3950"/>
    <n v="10"/>
    <d v="2025-01-03T00:00:00"/>
    <n v="4.6600000000000003E-2"/>
    <n v="5.8936135609809961"/>
    <n v="3125.1"/>
  </r>
  <r>
    <n v="101089"/>
    <x v="1"/>
    <x v="2"/>
    <x v="2"/>
    <x v="1089"/>
    <n v="17226"/>
    <n v="239065"/>
    <n v="2731"/>
    <n v="8"/>
    <d v="2025-01-02T00:00:00"/>
    <n v="7.2099999999999997E-2"/>
    <n v="11.423671386443019"/>
    <n v="2153.25"/>
  </r>
  <r>
    <n v="101090"/>
    <x v="2"/>
    <x v="4"/>
    <x v="4"/>
    <x v="1090"/>
    <n v="83680"/>
    <n v="741628"/>
    <n v="2223"/>
    <n v="24"/>
    <d v="2025-01-19T00:00:00"/>
    <n v="0.1128"/>
    <n v="2.9974596428398068"/>
    <n v="3486.6666666666665"/>
  </r>
  <r>
    <n v="101091"/>
    <x v="1"/>
    <x v="0"/>
    <x v="2"/>
    <x v="1091"/>
    <n v="7260"/>
    <n v="238989"/>
    <n v="3971"/>
    <n v="29"/>
    <d v="2025-01-25T00:00:00"/>
    <n v="3.04E-2"/>
    <n v="16.61582750670533"/>
    <n v="250.34482758620689"/>
  </r>
  <r>
    <n v="101092"/>
    <x v="2"/>
    <x v="3"/>
    <x v="1"/>
    <x v="1092"/>
    <n v="58434"/>
    <n v="908678"/>
    <n v="164"/>
    <n v="1"/>
    <d v="2024-12-29T00:00:00"/>
    <n v="6.4299999999999996E-2"/>
    <n v="0.18048197491300549"/>
    <n v="58434"/>
  </r>
  <r>
    <n v="101093"/>
    <x v="2"/>
    <x v="6"/>
    <x v="4"/>
    <x v="1093"/>
    <n v="5106"/>
    <n v="608037"/>
    <n v="4735"/>
    <n v="22"/>
    <d v="2025-01-20T00:00:00"/>
    <n v="8.3999999999999995E-3"/>
    <n v="7.7873550458278036"/>
    <n v="232.09090909090909"/>
  </r>
  <r>
    <n v="101094"/>
    <x v="1"/>
    <x v="2"/>
    <x v="1"/>
    <x v="1094"/>
    <n v="82681"/>
    <n v="296959"/>
    <n v="557"/>
    <n v="12"/>
    <d v="2025-01-11T00:00:00"/>
    <n v="0.27839999999999998"/>
    <n v="1.8756798076502144"/>
    <n v="6890.083333333333"/>
  </r>
  <r>
    <n v="101095"/>
    <x v="1"/>
    <x v="6"/>
    <x v="0"/>
    <x v="1095"/>
    <n v="12046"/>
    <n v="322068"/>
    <n v="4613"/>
    <n v="4"/>
    <d v="2025-01-04T00:00:00"/>
    <n v="3.7400000000000003E-2"/>
    <n v="14.323062210464871"/>
    <n v="3011.5"/>
  </r>
  <r>
    <n v="101096"/>
    <x v="2"/>
    <x v="1"/>
    <x v="0"/>
    <x v="1096"/>
    <n v="25717"/>
    <n v="686625"/>
    <n v="2945"/>
    <n v="17"/>
    <d v="2025-01-18T00:00:00"/>
    <n v="3.7499999999999999E-2"/>
    <n v="4.2890952120881121"/>
    <n v="1512.7647058823529"/>
  </r>
  <r>
    <n v="101097"/>
    <x v="0"/>
    <x v="1"/>
    <x v="2"/>
    <x v="1097"/>
    <n v="32041"/>
    <n v="479632"/>
    <n v="989"/>
    <n v="10"/>
    <d v="2025-01-12T00:00:00"/>
    <n v="6.6799999999999998E-2"/>
    <n v="2.0619975314407717"/>
    <n v="3204.1"/>
  </r>
  <r>
    <n v="101098"/>
    <x v="0"/>
    <x v="1"/>
    <x v="0"/>
    <x v="1098"/>
    <n v="31723"/>
    <n v="183568"/>
    <n v="1842"/>
    <n v="25"/>
    <d v="2025-01-28T00:00:00"/>
    <n v="0.17280000000000001"/>
    <n v="10.034428658589732"/>
    <n v="1268.92"/>
  </r>
  <r>
    <n v="101099"/>
    <x v="2"/>
    <x v="0"/>
    <x v="1"/>
    <x v="1099"/>
    <n v="89160"/>
    <n v="868745"/>
    <n v="1186"/>
    <n v="4"/>
    <d v="2025-01-08T00:00:00"/>
    <n v="0.1026"/>
    <n v="1.3651877133105803"/>
    <n v="22290"/>
  </r>
  <r>
    <n v="101100"/>
    <x v="2"/>
    <x v="4"/>
    <x v="1"/>
    <x v="1100"/>
    <n v="76125"/>
    <n v="346246"/>
    <n v="2736"/>
    <n v="1"/>
    <d v="2025-01-06T00:00:00"/>
    <n v="0.21990000000000001"/>
    <n v="7.9018963395967035"/>
    <n v="76125"/>
  </r>
  <r>
    <n v="101101"/>
    <x v="2"/>
    <x v="3"/>
    <x v="4"/>
    <x v="1101"/>
    <n v="33098"/>
    <n v="387248"/>
    <n v="397"/>
    <n v="29"/>
    <d v="2025-02-04T00:00:00"/>
    <n v="8.5500000000000007E-2"/>
    <n v="1.02518282857497"/>
    <n v="1141.3103448275863"/>
  </r>
  <r>
    <n v="101102"/>
    <x v="0"/>
    <x v="4"/>
    <x v="4"/>
    <x v="1102"/>
    <n v="96250"/>
    <n v="92554"/>
    <n v="4716"/>
    <n v="25"/>
    <d v="2025-02-01T00:00:00"/>
    <n v="1.0399"/>
    <n v="50.954037642889553"/>
    <n v="3850"/>
  </r>
  <r>
    <n v="101103"/>
    <x v="0"/>
    <x v="4"/>
    <x v="1"/>
    <x v="1103"/>
    <n v="17840"/>
    <n v="756891"/>
    <n v="1578"/>
    <n v="12"/>
    <d v="2025-01-20T00:00:00"/>
    <n v="2.3599999999999999E-2"/>
    <n v="2.0848444492007436"/>
    <n v="1486.6666666666667"/>
  </r>
  <r>
    <n v="101104"/>
    <x v="2"/>
    <x v="2"/>
    <x v="1"/>
    <x v="1104"/>
    <n v="10053"/>
    <n v="112512"/>
    <n v="276"/>
    <n v="8"/>
    <d v="2025-01-17T00:00:00"/>
    <n v="8.9399999999999993E-2"/>
    <n v="2.4530716723549491"/>
    <n v="1256.625"/>
  </r>
  <r>
    <n v="101105"/>
    <x v="0"/>
    <x v="6"/>
    <x v="2"/>
    <x v="1105"/>
    <n v="68400"/>
    <n v="192669"/>
    <n v="4088"/>
    <n v="27"/>
    <d v="2025-02-06T00:00:00"/>
    <n v="0.35499999999999998"/>
    <n v="21.21773611738266"/>
    <n v="2533.3333333333335"/>
  </r>
  <r>
    <n v="101106"/>
    <x v="2"/>
    <x v="0"/>
    <x v="3"/>
    <x v="1106"/>
    <n v="6790"/>
    <n v="519712"/>
    <n v="4955"/>
    <n v="3"/>
    <d v="2025-01-14T00:00:00"/>
    <n v="1.3100000000000001E-2"/>
    <n v="9.5341265931900736"/>
    <n v="2263.3333333333335"/>
  </r>
  <r>
    <n v="101107"/>
    <x v="2"/>
    <x v="6"/>
    <x v="1"/>
    <x v="1107"/>
    <n v="46139"/>
    <n v="872042"/>
    <n v="1709"/>
    <n v="23"/>
    <d v="2025-02-04T00:00:00"/>
    <n v="5.2900000000000003E-2"/>
    <n v="1.9597679928260334"/>
    <n v="2006.0434782608695"/>
  </r>
  <r>
    <n v="101108"/>
    <x v="3"/>
    <x v="3"/>
    <x v="1"/>
    <x v="1108"/>
    <n v="78532"/>
    <n v="487241"/>
    <n v="4191"/>
    <n v="19"/>
    <d v="2025-02-01T00:00:00"/>
    <n v="0.16120000000000001"/>
    <n v="8.6014928957128003"/>
    <n v="4133.2631578947367"/>
  </r>
  <r>
    <n v="101109"/>
    <x v="2"/>
    <x v="6"/>
    <x v="4"/>
    <x v="1109"/>
    <n v="34692"/>
    <n v="143315"/>
    <n v="932"/>
    <n v="28"/>
    <d v="2025-02-11T00:00:00"/>
    <n v="0.24210000000000001"/>
    <n v="6.5031573805951925"/>
    <n v="1239"/>
  </r>
  <r>
    <n v="101110"/>
    <x v="2"/>
    <x v="5"/>
    <x v="4"/>
    <x v="1110"/>
    <n v="91841"/>
    <n v="725447"/>
    <n v="2756"/>
    <n v="8"/>
    <d v="2025-01-23T00:00:00"/>
    <n v="0.12659999999999999"/>
    <n v="3.7990370075277724"/>
    <n v="11480.125"/>
  </r>
  <r>
    <n v="101111"/>
    <x v="1"/>
    <x v="0"/>
    <x v="1"/>
    <x v="1111"/>
    <n v="18942"/>
    <n v="198324"/>
    <n v="91"/>
    <n v="10"/>
    <d v="2025-01-26T00:00:00"/>
    <n v="9.5500000000000002E-2"/>
    <n v="0.45884512212339407"/>
    <n v="1894.2"/>
  </r>
  <r>
    <n v="101112"/>
    <x v="1"/>
    <x v="0"/>
    <x v="3"/>
    <x v="1112"/>
    <n v="26219"/>
    <n v="418661"/>
    <n v="2838"/>
    <n v="28"/>
    <d v="2025-02-14T00:00:00"/>
    <n v="6.2600000000000003E-2"/>
    <n v="6.7787541710357546"/>
    <n v="936.39285714285711"/>
  </r>
  <r>
    <n v="101113"/>
    <x v="3"/>
    <x v="3"/>
    <x v="4"/>
    <x v="1113"/>
    <n v="32620"/>
    <n v="869142"/>
    <n v="2982"/>
    <n v="16"/>
    <d v="2025-02-03T00:00:00"/>
    <n v="3.7499999999999999E-2"/>
    <n v="3.4309698530274684"/>
    <n v="2038.75"/>
  </r>
  <r>
    <n v="101114"/>
    <x v="3"/>
    <x v="6"/>
    <x v="3"/>
    <x v="1114"/>
    <n v="59480"/>
    <n v="2274"/>
    <n v="3126"/>
    <n v="24"/>
    <d v="2025-02-12T00:00:00"/>
    <n v="26.156600000000001"/>
    <n v="1374.6701846965698"/>
    <n v="2478.3333333333335"/>
  </r>
  <r>
    <n v="101115"/>
    <x v="2"/>
    <x v="3"/>
    <x v="2"/>
    <x v="1115"/>
    <n v="40229"/>
    <n v="11765"/>
    <n v="388"/>
    <n v="15"/>
    <d v="2025-02-04T00:00:00"/>
    <n v="3.4194"/>
    <n v="32.979175520611982"/>
    <n v="2681.9333333333334"/>
  </r>
  <r>
    <n v="101116"/>
    <x v="2"/>
    <x v="5"/>
    <x v="2"/>
    <x v="1116"/>
    <n v="75311"/>
    <n v="667365"/>
    <n v="4652"/>
    <n v="26"/>
    <d v="2025-02-16T00:00:00"/>
    <n v="0.1128"/>
    <n v="6.9706981936421597"/>
    <n v="2896.5769230769229"/>
  </r>
  <r>
    <n v="101117"/>
    <x v="0"/>
    <x v="4"/>
    <x v="3"/>
    <x v="1117"/>
    <n v="80479"/>
    <n v="528641"/>
    <n v="2201"/>
    <n v="6"/>
    <d v="2025-01-28T00:00:00"/>
    <n v="0.1522"/>
    <n v="4.1635060466365648"/>
    <n v="13413.166666666666"/>
  </r>
  <r>
    <n v="101118"/>
    <x v="2"/>
    <x v="5"/>
    <x v="1"/>
    <x v="1118"/>
    <n v="39209"/>
    <n v="645896"/>
    <n v="3481"/>
    <n v="19"/>
    <d v="2025-02-11T00:00:00"/>
    <n v="6.0699999999999997E-2"/>
    <n v="5.3894125370028609"/>
    <n v="2063.6315789473683"/>
  </r>
  <r>
    <n v="101119"/>
    <x v="0"/>
    <x v="2"/>
    <x v="1"/>
    <x v="1119"/>
    <n v="58464"/>
    <n v="905191"/>
    <n v="2326"/>
    <n v="28"/>
    <d v="2025-02-21T00:00:00"/>
    <n v="6.4600000000000005E-2"/>
    <n v="2.5696234275418113"/>
    <n v="2088"/>
  </r>
  <r>
    <n v="101120"/>
    <x v="1"/>
    <x v="5"/>
    <x v="4"/>
    <x v="1120"/>
    <n v="7082"/>
    <n v="654892"/>
    <n v="3911"/>
    <n v="15"/>
    <d v="2025-02-09T00:00:00"/>
    <n v="1.0800000000000001E-2"/>
    <n v="5.9719770588127501"/>
    <n v="472.13333333333333"/>
  </r>
  <r>
    <n v="101121"/>
    <x v="2"/>
    <x v="4"/>
    <x v="4"/>
    <x v="1121"/>
    <n v="94987"/>
    <n v="532748"/>
    <n v="2487"/>
    <n v="7"/>
    <d v="2025-02-02T00:00:00"/>
    <n v="0.17829999999999999"/>
    <n v="4.6682484026218773"/>
    <n v="13569.571428571429"/>
  </r>
  <r>
    <n v="101122"/>
    <x v="0"/>
    <x v="3"/>
    <x v="4"/>
    <x v="1122"/>
    <n v="22964"/>
    <n v="468291"/>
    <n v="1671"/>
    <n v="9"/>
    <d v="2025-02-05T00:00:00"/>
    <n v="4.9000000000000002E-2"/>
    <n v="3.5682940735568272"/>
    <n v="2551.5555555555557"/>
  </r>
  <r>
    <n v="101123"/>
    <x v="2"/>
    <x v="5"/>
    <x v="1"/>
    <x v="1123"/>
    <n v="5343"/>
    <n v="917741"/>
    <n v="1030"/>
    <n v="20"/>
    <d v="2025-02-17T00:00:00"/>
    <n v="5.7999999999999996E-3"/>
    <n v="1.122321003420355"/>
    <n v="267.14999999999998"/>
  </r>
  <r>
    <n v="101124"/>
    <x v="1"/>
    <x v="3"/>
    <x v="0"/>
    <x v="1124"/>
    <n v="49407"/>
    <n v="553346"/>
    <n v="4836"/>
    <n v="7"/>
    <d v="2025-02-05T00:00:00"/>
    <n v="8.9300000000000004E-2"/>
    <n v="8.7395589739511994"/>
    <n v="7058.1428571428569"/>
  </r>
  <r>
    <n v="101125"/>
    <x v="1"/>
    <x v="3"/>
    <x v="1"/>
    <x v="1125"/>
    <n v="93814"/>
    <n v="290840"/>
    <n v="118"/>
    <n v="6"/>
    <d v="2025-02-05T00:00:00"/>
    <n v="0.3226"/>
    <n v="0.40572135882272042"/>
    <n v="15635.666666666666"/>
  </r>
  <r>
    <n v="101126"/>
    <x v="1"/>
    <x v="0"/>
    <x v="3"/>
    <x v="1126"/>
    <n v="79132"/>
    <n v="411168"/>
    <n v="4562"/>
    <n v="25"/>
    <d v="2025-02-25T00:00:00"/>
    <n v="0.1925"/>
    <n v="11.095221418009183"/>
    <n v="3165.28"/>
  </r>
  <r>
    <n v="101127"/>
    <x v="1"/>
    <x v="5"/>
    <x v="1"/>
    <x v="1127"/>
    <n v="17946"/>
    <n v="828426"/>
    <n v="3160"/>
    <n v="12"/>
    <d v="2025-02-13T00:00:00"/>
    <n v="2.1700000000000001E-2"/>
    <n v="3.8144626074024717"/>
    <n v="1495.5"/>
  </r>
  <r>
    <n v="101128"/>
    <x v="1"/>
    <x v="1"/>
    <x v="3"/>
    <x v="1128"/>
    <n v="31983"/>
    <n v="397960"/>
    <n v="2406"/>
    <n v="17"/>
    <d v="2025-02-19T00:00:00"/>
    <n v="8.0399999999999999E-2"/>
    <n v="6.0458337521358931"/>
    <n v="1881.3529411764705"/>
  </r>
  <r>
    <n v="101129"/>
    <x v="3"/>
    <x v="6"/>
    <x v="0"/>
    <x v="1129"/>
    <n v="58114"/>
    <n v="236774"/>
    <n v="3563"/>
    <n v="3"/>
    <d v="2025-02-06T00:00:00"/>
    <n v="0.24540000000000001"/>
    <n v="15.048104943954995"/>
    <n v="19371.333333333332"/>
  </r>
  <r>
    <n v="101130"/>
    <x v="3"/>
    <x v="0"/>
    <x v="3"/>
    <x v="1130"/>
    <n v="36007"/>
    <n v="288261"/>
    <n v="1067"/>
    <n v="7"/>
    <d v="2025-02-11T00:00:00"/>
    <n v="0.1249"/>
    <n v="3.701506620736069"/>
    <n v="5143.8571428571431"/>
  </r>
  <r>
    <n v="101131"/>
    <x v="1"/>
    <x v="6"/>
    <x v="4"/>
    <x v="1131"/>
    <n v="24984"/>
    <n v="53808"/>
    <n v="4500"/>
    <n v="8"/>
    <d v="2025-02-13T00:00:00"/>
    <n v="0.46429999999999999"/>
    <n v="83.630686886708304"/>
    <n v="3123"/>
  </r>
  <r>
    <n v="101132"/>
    <x v="2"/>
    <x v="0"/>
    <x v="2"/>
    <x v="1132"/>
    <n v="59917"/>
    <n v="320785"/>
    <n v="2906"/>
    <n v="16"/>
    <d v="2025-02-22T00:00:00"/>
    <n v="0.18679999999999999"/>
    <n v="9.0590270742085828"/>
    <n v="3744.8125"/>
  </r>
  <r>
    <n v="101133"/>
    <x v="0"/>
    <x v="3"/>
    <x v="4"/>
    <x v="1133"/>
    <n v="36584"/>
    <n v="291033"/>
    <n v="3108"/>
    <n v="27"/>
    <d v="2025-03-06T00:00:00"/>
    <n v="0.12570000000000001"/>
    <n v="10.67920132768449"/>
    <n v="1354.962962962963"/>
  </r>
  <r>
    <n v="101134"/>
    <x v="3"/>
    <x v="3"/>
    <x v="1"/>
    <x v="1134"/>
    <n v="65561"/>
    <n v="68818"/>
    <n v="3069"/>
    <n v="4"/>
    <d v="2025-02-12T00:00:00"/>
    <n v="0.95269999999999999"/>
    <n v="44.59589061001482"/>
    <n v="16390.25"/>
  </r>
  <r>
    <n v="101135"/>
    <x v="2"/>
    <x v="6"/>
    <x v="1"/>
    <x v="1135"/>
    <n v="26514"/>
    <n v="445400"/>
    <n v="1064"/>
    <n v="22"/>
    <d v="2025-03-03T00:00:00"/>
    <n v="5.9499999999999997E-2"/>
    <n v="2.388863942523574"/>
    <n v="1205.1818181818182"/>
  </r>
  <r>
    <n v="101136"/>
    <x v="1"/>
    <x v="6"/>
    <x v="2"/>
    <x v="1136"/>
    <n v="56020"/>
    <n v="787618"/>
    <n v="623"/>
    <n v="23"/>
    <d v="2025-03-05T00:00:00"/>
    <n v="7.1099999999999997E-2"/>
    <n v="0.79099258777732362"/>
    <n v="2435.6521739130435"/>
  </r>
  <r>
    <n v="101137"/>
    <x v="1"/>
    <x v="5"/>
    <x v="1"/>
    <x v="1137"/>
    <n v="46339"/>
    <n v="85289"/>
    <n v="3466"/>
    <n v="13"/>
    <d v="2025-02-24T00:00:00"/>
    <n v="0.54330000000000001"/>
    <n v="40.638300366987536"/>
    <n v="3564.5384615384614"/>
  </r>
  <r>
    <n v="101138"/>
    <x v="2"/>
    <x v="5"/>
    <x v="4"/>
    <x v="1138"/>
    <n v="20077"/>
    <n v="362045"/>
    <n v="3928"/>
    <n v="18"/>
    <d v="2025-03-02T00:00:00"/>
    <n v="5.5500000000000001E-2"/>
    <n v="10.849480037011974"/>
    <n v="1115.3888888888889"/>
  </r>
  <r>
    <n v="101139"/>
    <x v="1"/>
    <x v="0"/>
    <x v="4"/>
    <x v="1139"/>
    <n v="72142"/>
    <n v="606856"/>
    <n v="3589"/>
    <n v="23"/>
    <d v="2025-03-08T00:00:00"/>
    <n v="0.11890000000000001"/>
    <n v="5.9140883504488713"/>
    <n v="3136.608695652174"/>
  </r>
  <r>
    <n v="101140"/>
    <x v="2"/>
    <x v="6"/>
    <x v="1"/>
    <x v="1140"/>
    <n v="44920"/>
    <n v="108218"/>
    <n v="2678"/>
    <n v="21"/>
    <d v="2025-03-07T00:00:00"/>
    <n v="0.41510000000000002"/>
    <n v="24.74634533996193"/>
    <n v="2139.0476190476193"/>
  </r>
  <r>
    <n v="101141"/>
    <x v="0"/>
    <x v="1"/>
    <x v="2"/>
    <x v="1141"/>
    <n v="50856"/>
    <n v="516150"/>
    <n v="18"/>
    <n v="29"/>
    <d v="2025-03-16T00:00:00"/>
    <n v="9.8500000000000004E-2"/>
    <n v="3.4873583260680033E-2"/>
    <n v="1753.655172413793"/>
  </r>
  <r>
    <n v="101142"/>
    <x v="0"/>
    <x v="1"/>
    <x v="0"/>
    <x v="1142"/>
    <n v="92345"/>
    <n v="731315"/>
    <n v="39"/>
    <n v="26"/>
    <d v="2025-03-14T00:00:00"/>
    <n v="0.1263"/>
    <n v="5.3328593013954317E-2"/>
    <n v="3551.7307692307691"/>
  </r>
  <r>
    <n v="101143"/>
    <x v="0"/>
    <x v="4"/>
    <x v="1"/>
    <x v="1143"/>
    <n v="39007"/>
    <n v="21064"/>
    <n v="2082"/>
    <n v="17"/>
    <d v="2025-03-06T00:00:00"/>
    <n v="1.8517999999999999"/>
    <n v="98.84162552221801"/>
    <n v="2294.5294117647059"/>
  </r>
  <r>
    <n v="101144"/>
    <x v="1"/>
    <x v="0"/>
    <x v="4"/>
    <x v="1144"/>
    <n v="15481"/>
    <n v="795924"/>
    <n v="3621"/>
    <n v="29"/>
    <d v="2025-03-19T00:00:00"/>
    <n v="1.95E-2"/>
    <n v="4.5494293425000381"/>
    <n v="533.82758620689651"/>
  </r>
  <r>
    <n v="101145"/>
    <x v="2"/>
    <x v="1"/>
    <x v="2"/>
    <x v="1145"/>
    <n v="88682"/>
    <n v="352622"/>
    <n v="4066"/>
    <n v="5"/>
    <d v="2025-02-24T00:00:00"/>
    <n v="0.2515"/>
    <n v="11.530760984850632"/>
    <n v="17736.400000000001"/>
  </r>
  <r>
    <n v="101146"/>
    <x v="0"/>
    <x v="2"/>
    <x v="3"/>
    <x v="1146"/>
    <n v="64129"/>
    <n v="40197"/>
    <n v="979"/>
    <n v="27"/>
    <d v="2025-03-19T00:00:00"/>
    <n v="1.5953999999999999"/>
    <n v="24.355051371992936"/>
    <n v="2375.1481481481483"/>
  </r>
  <r>
    <n v="101147"/>
    <x v="0"/>
    <x v="3"/>
    <x v="0"/>
    <x v="1147"/>
    <n v="28774"/>
    <n v="331519"/>
    <n v="2434"/>
    <n v="17"/>
    <d v="2025-03-10T00:00:00"/>
    <n v="8.6800000000000002E-2"/>
    <n v="7.3419623008032726"/>
    <n v="1692.5882352941176"/>
  </r>
  <r>
    <n v="101148"/>
    <x v="1"/>
    <x v="3"/>
    <x v="2"/>
    <x v="1148"/>
    <n v="68855"/>
    <n v="655272"/>
    <n v="4515"/>
    <n v="1"/>
    <d v="2025-02-23T00:00:00"/>
    <n v="0.1051"/>
    <n v="6.8902684686664468"/>
    <n v="68855"/>
  </r>
  <r>
    <n v="101149"/>
    <x v="0"/>
    <x v="3"/>
    <x v="1"/>
    <x v="1149"/>
    <n v="53316"/>
    <n v="490946"/>
    <n v="3208"/>
    <n v="27"/>
    <d v="2025-03-22T00:00:00"/>
    <n v="0.1086"/>
    <n v="6.5343235304901155"/>
    <n v="1974.6666666666667"/>
  </r>
  <r>
    <n v="101150"/>
    <x v="2"/>
    <x v="6"/>
    <x v="2"/>
    <x v="1150"/>
    <n v="60113"/>
    <n v="890579"/>
    <n v="4408"/>
    <n v="22"/>
    <d v="2025-03-18T00:00:00"/>
    <n v="6.7500000000000004E-2"/>
    <n v="4.9495889752621602"/>
    <n v="2732.409090909091"/>
  </r>
  <r>
    <n v="101151"/>
    <x v="0"/>
    <x v="6"/>
    <x v="2"/>
    <x v="1151"/>
    <n v="93206"/>
    <n v="575198"/>
    <n v="3310"/>
    <n v="11"/>
    <d v="2025-03-08T00:00:00"/>
    <n v="0.16200000000000001"/>
    <n v="5.7545401757307921"/>
    <n v="8473.2727272727279"/>
  </r>
  <r>
    <n v="101152"/>
    <x v="2"/>
    <x v="0"/>
    <x v="4"/>
    <x v="1152"/>
    <n v="78160"/>
    <n v="653305"/>
    <n v="3293"/>
    <n v="27"/>
    <d v="2025-03-25T00:00:00"/>
    <n v="0.1196"/>
    <n v="5.0405247166331195"/>
    <n v="2894.8148148148148"/>
  </r>
  <r>
    <n v="101153"/>
    <x v="2"/>
    <x v="3"/>
    <x v="1"/>
    <x v="1153"/>
    <n v="23781"/>
    <n v="128701"/>
    <n v="677"/>
    <n v="6"/>
    <d v="2025-03-05T00:00:00"/>
    <n v="0.18479999999999999"/>
    <n v="5.2602543880777928"/>
    <n v="3963.5"/>
  </r>
  <r>
    <n v="101154"/>
    <x v="1"/>
    <x v="2"/>
    <x v="4"/>
    <x v="1154"/>
    <n v="66289"/>
    <n v="524467"/>
    <n v="366"/>
    <n v="25"/>
    <d v="2025-03-25T00:00:00"/>
    <n v="0.12640000000000001"/>
    <n v="0.69785134241048541"/>
    <n v="2651.56"/>
  </r>
  <r>
    <n v="101155"/>
    <x v="2"/>
    <x v="5"/>
    <x v="4"/>
    <x v="1155"/>
    <n v="6016"/>
    <n v="677558"/>
    <n v="4943"/>
    <n v="26"/>
    <d v="2025-03-27T00:00:00"/>
    <n v="8.8999999999999999E-3"/>
    <n v="7.2953164157164405"/>
    <n v="231.38461538461539"/>
  </r>
  <r>
    <n v="101156"/>
    <x v="2"/>
    <x v="2"/>
    <x v="2"/>
    <x v="1156"/>
    <n v="75065"/>
    <n v="917257"/>
    <n v="4373"/>
    <n v="23"/>
    <d v="2025-03-25T00:00:00"/>
    <n v="8.1799999999999998E-2"/>
    <n v="4.7674752005163219"/>
    <n v="3263.695652173913"/>
  </r>
  <r>
    <n v="101157"/>
    <x v="2"/>
    <x v="6"/>
    <x v="0"/>
    <x v="1157"/>
    <n v="78385"/>
    <n v="589136"/>
    <n v="1633"/>
    <n v="25"/>
    <d v="2025-03-28T00:00:00"/>
    <n v="0.1331"/>
    <n v="2.7718557344993346"/>
    <n v="3135.4"/>
  </r>
  <r>
    <n v="101158"/>
    <x v="1"/>
    <x v="2"/>
    <x v="0"/>
    <x v="1158"/>
    <n v="76868"/>
    <n v="357048"/>
    <n v="2455"/>
    <n v="9"/>
    <d v="2025-03-13T00:00:00"/>
    <n v="0.21529999999999999"/>
    <n v="6.8758262194438835"/>
    <n v="8540.8888888888887"/>
  </r>
  <r>
    <n v="101159"/>
    <x v="0"/>
    <x v="6"/>
    <x v="0"/>
    <x v="1159"/>
    <n v="53505"/>
    <n v="223099"/>
    <n v="2063"/>
    <n v="17"/>
    <d v="2025-03-22T00:00:00"/>
    <n v="0.23980000000000001"/>
    <n v="9.2470158987713962"/>
    <n v="3147.3529411764707"/>
  </r>
  <r>
    <n v="101160"/>
    <x v="2"/>
    <x v="2"/>
    <x v="0"/>
    <x v="1160"/>
    <n v="93227"/>
    <n v="456031"/>
    <n v="387"/>
    <n v="18"/>
    <d v="2025-03-24T00:00:00"/>
    <n v="0.2044"/>
    <n v="0.8486265188112212"/>
    <n v="5179.2777777777774"/>
  </r>
  <r>
    <n v="101161"/>
    <x v="1"/>
    <x v="4"/>
    <x v="4"/>
    <x v="1161"/>
    <n v="97092"/>
    <n v="797769"/>
    <n v="1641"/>
    <n v="27"/>
    <d v="2025-04-03T00:00:00"/>
    <n v="0.1217"/>
    <n v="2.0569864208812323"/>
    <n v="3596"/>
  </r>
  <r>
    <n v="101162"/>
    <x v="0"/>
    <x v="6"/>
    <x v="0"/>
    <x v="1162"/>
    <n v="12105"/>
    <n v="815345"/>
    <n v="1671"/>
    <n v="1"/>
    <d v="2025-03-09T00:00:00"/>
    <n v="1.4800000000000001E-2"/>
    <n v="2.0494391944514287"/>
    <n v="12105"/>
  </r>
  <r>
    <n v="101163"/>
    <x v="2"/>
    <x v="1"/>
    <x v="3"/>
    <x v="1163"/>
    <n v="12851"/>
    <n v="357008"/>
    <n v="3198"/>
    <n v="19"/>
    <d v="2025-03-28T00:00:00"/>
    <n v="3.5999999999999997E-2"/>
    <n v="8.9577824586563874"/>
    <n v="676.36842105263156"/>
  </r>
  <r>
    <n v="101164"/>
    <x v="2"/>
    <x v="2"/>
    <x v="4"/>
    <x v="1164"/>
    <n v="16834"/>
    <n v="574012"/>
    <n v="3033"/>
    <n v="21"/>
    <d v="2025-03-31T00:00:00"/>
    <n v="2.93E-2"/>
    <n v="5.2838616614286806"/>
    <n v="801.61904761904759"/>
  </r>
  <r>
    <n v="101165"/>
    <x v="0"/>
    <x v="4"/>
    <x v="3"/>
    <x v="1165"/>
    <n v="89920"/>
    <n v="496419"/>
    <n v="2483"/>
    <n v="7"/>
    <d v="2025-03-18T00:00:00"/>
    <n v="0.18110000000000001"/>
    <n v="5.0018230567323165"/>
    <n v="12845.714285714286"/>
  </r>
  <r>
    <n v="101166"/>
    <x v="0"/>
    <x v="1"/>
    <x v="3"/>
    <x v="1166"/>
    <n v="73993"/>
    <n v="433735"/>
    <n v="3377"/>
    <n v="29"/>
    <d v="2025-04-10T00:00:00"/>
    <n v="0.1706"/>
    <n v="7.7858600297416629"/>
    <n v="2551.4827586206898"/>
  </r>
  <r>
    <n v="101167"/>
    <x v="1"/>
    <x v="1"/>
    <x v="4"/>
    <x v="1167"/>
    <n v="11589"/>
    <n v="584834"/>
    <n v="495"/>
    <n v="6"/>
    <d v="2025-03-19T00:00:00"/>
    <n v="1.9800000000000002E-2"/>
    <n v="0.84639401949955029"/>
    <n v="1931.5"/>
  </r>
  <r>
    <n v="101168"/>
    <x v="0"/>
    <x v="4"/>
    <x v="1"/>
    <x v="1168"/>
    <n v="70356"/>
    <n v="324813"/>
    <n v="4642"/>
    <n v="26"/>
    <d v="2025-04-09T00:00:00"/>
    <n v="0.21659999999999999"/>
    <n v="14.291299917183117"/>
    <n v="2706"/>
  </r>
  <r>
    <n v="101169"/>
    <x v="2"/>
    <x v="1"/>
    <x v="3"/>
    <x v="1169"/>
    <n v="79901"/>
    <n v="959002"/>
    <n v="1747"/>
    <n v="11"/>
    <d v="2025-03-26T00:00:00"/>
    <n v="8.3299999999999999E-2"/>
    <n v="1.8216854605099884"/>
    <n v="7263.727272727273"/>
  </r>
  <r>
    <n v="101170"/>
    <x v="2"/>
    <x v="5"/>
    <x v="1"/>
    <x v="1170"/>
    <n v="23255"/>
    <n v="194624"/>
    <n v="3260"/>
    <n v="26"/>
    <d v="2025-04-11T00:00:00"/>
    <n v="0.1195"/>
    <n v="16.750246629398223"/>
    <n v="894.42307692307691"/>
  </r>
  <r>
    <n v="101171"/>
    <x v="0"/>
    <x v="4"/>
    <x v="0"/>
    <x v="1171"/>
    <n v="39950"/>
    <n v="436525"/>
    <n v="1709"/>
    <n v="4"/>
    <d v="2025-03-21T00:00:00"/>
    <n v="9.1499999999999998E-2"/>
    <n v="3.9150105950403753"/>
    <n v="9987.5"/>
  </r>
  <r>
    <n v="101172"/>
    <x v="2"/>
    <x v="2"/>
    <x v="0"/>
    <x v="1172"/>
    <n v="54328"/>
    <n v="599143"/>
    <n v="3169"/>
    <n v="5"/>
    <d v="2025-03-23T00:00:00"/>
    <n v="9.0700000000000003E-2"/>
    <n v="5.2892214379538771"/>
    <n v="10865.6"/>
  </r>
  <r>
    <n v="101173"/>
    <x v="0"/>
    <x v="0"/>
    <x v="4"/>
    <x v="1173"/>
    <n v="14570"/>
    <n v="597852"/>
    <n v="1943"/>
    <n v="19"/>
    <d v="2025-04-07T00:00:00"/>
    <n v="2.4400000000000002E-2"/>
    <n v="3.2499682195593556"/>
    <n v="766.84210526315792"/>
  </r>
  <r>
    <n v="101174"/>
    <x v="1"/>
    <x v="0"/>
    <x v="3"/>
    <x v="1174"/>
    <n v="25231"/>
    <n v="532068"/>
    <n v="2432"/>
    <n v="23"/>
    <d v="2025-04-12T00:00:00"/>
    <n v="4.7399999999999998E-2"/>
    <n v="4.5708443281685804"/>
    <n v="1097"/>
  </r>
  <r>
    <n v="101175"/>
    <x v="0"/>
    <x v="5"/>
    <x v="4"/>
    <x v="1175"/>
    <n v="10966"/>
    <n v="693817"/>
    <n v="594"/>
    <n v="16"/>
    <d v="2025-04-06T00:00:00"/>
    <n v="1.5800000000000002E-2"/>
    <n v="0.85613353377043233"/>
    <n v="685.375"/>
  </r>
  <r>
    <n v="101176"/>
    <x v="1"/>
    <x v="4"/>
    <x v="2"/>
    <x v="1176"/>
    <n v="80991"/>
    <n v="914152"/>
    <n v="1801"/>
    <n v="14"/>
    <d v="2025-04-05T00:00:00"/>
    <n v="8.8599999999999998E-2"/>
    <n v="1.9701318817877114"/>
    <n v="5785.0714285714284"/>
  </r>
  <r>
    <n v="101177"/>
    <x v="2"/>
    <x v="0"/>
    <x v="4"/>
    <x v="1177"/>
    <n v="35485"/>
    <n v="6781"/>
    <n v="326"/>
    <n v="23"/>
    <d v="2025-04-15T00:00:00"/>
    <n v="5.2329999999999997"/>
    <n v="48.075505087745171"/>
    <n v="1542.8260869565217"/>
  </r>
  <r>
    <n v="101178"/>
    <x v="2"/>
    <x v="5"/>
    <x v="1"/>
    <x v="1178"/>
    <n v="27445"/>
    <n v="602670"/>
    <n v="693"/>
    <n v="11"/>
    <d v="2025-04-04T00:00:00"/>
    <n v="4.5499999999999999E-2"/>
    <n v="1.1498830205585144"/>
    <n v="2495"/>
  </r>
  <r>
    <n v="101179"/>
    <x v="2"/>
    <x v="5"/>
    <x v="2"/>
    <x v="1179"/>
    <n v="69142"/>
    <n v="107751"/>
    <n v="573"/>
    <n v="8"/>
    <d v="2025-04-02T00:00:00"/>
    <n v="0.64170000000000005"/>
    <n v="5.3178160759528907"/>
    <n v="8642.75"/>
  </r>
  <r>
    <n v="101180"/>
    <x v="0"/>
    <x v="5"/>
    <x v="0"/>
    <x v="1180"/>
    <n v="65801"/>
    <n v="323677"/>
    <n v="4216"/>
    <n v="26"/>
    <d v="2025-04-21T00:00:00"/>
    <n v="0.20330000000000001"/>
    <n v="13.025330808182231"/>
    <n v="2530.8076923076924"/>
  </r>
  <r>
    <n v="101181"/>
    <x v="2"/>
    <x v="5"/>
    <x v="0"/>
    <x v="1181"/>
    <n v="52970"/>
    <n v="381270"/>
    <n v="1219"/>
    <n v="17"/>
    <d v="2025-04-13T00:00:00"/>
    <n v="0.1389"/>
    <n v="3.1972093267238439"/>
    <n v="3115.8823529411766"/>
  </r>
  <r>
    <n v="101182"/>
    <x v="2"/>
    <x v="2"/>
    <x v="3"/>
    <x v="1182"/>
    <n v="22544"/>
    <n v="664183"/>
    <n v="4076"/>
    <n v="20"/>
    <d v="2025-04-17T00:00:00"/>
    <n v="3.39E-2"/>
    <n v="6.1368628826693845"/>
    <n v="1127.2"/>
  </r>
  <r>
    <n v="101183"/>
    <x v="2"/>
    <x v="0"/>
    <x v="2"/>
    <x v="1183"/>
    <n v="1630"/>
    <n v="985569"/>
    <n v="3914"/>
    <n v="10"/>
    <d v="2025-04-08T00:00:00"/>
    <n v="1.6999999999999999E-3"/>
    <n v="3.9713099742382321"/>
    <n v="163"/>
  </r>
  <r>
    <n v="101184"/>
    <x v="2"/>
    <x v="4"/>
    <x v="4"/>
    <x v="1184"/>
    <n v="95267"/>
    <n v="479598"/>
    <n v="3447"/>
    <n v="14"/>
    <d v="2025-04-13T00:00:00"/>
    <n v="0.1986"/>
    <n v="7.1872693380706343"/>
    <n v="6804.7857142857147"/>
  </r>
  <r>
    <n v="101185"/>
    <x v="0"/>
    <x v="2"/>
    <x v="4"/>
    <x v="1185"/>
    <n v="1648"/>
    <n v="189713"/>
    <n v="1987"/>
    <n v="20"/>
    <d v="2025-04-20T00:00:00"/>
    <n v="8.6999999999999994E-3"/>
    <n v="10.473715559819306"/>
    <n v="82.4"/>
  </r>
  <r>
    <n v="101186"/>
    <x v="2"/>
    <x v="4"/>
    <x v="1"/>
    <x v="1186"/>
    <n v="60073"/>
    <n v="823316"/>
    <n v="1382"/>
    <n v="29"/>
    <d v="2025-04-30T00:00:00"/>
    <n v="7.2999999999999995E-2"/>
    <n v="1.6785778486024807"/>
    <n v="2071.4827586206898"/>
  </r>
  <r>
    <n v="101187"/>
    <x v="3"/>
    <x v="4"/>
    <x v="3"/>
    <x v="1187"/>
    <n v="61216"/>
    <n v="835828"/>
    <n v="3136"/>
    <n v="9"/>
    <d v="2025-04-11T00:00:00"/>
    <n v="7.3200000000000001E-2"/>
    <n v="3.7519681082710798"/>
    <n v="6801.7777777777774"/>
  </r>
  <r>
    <n v="101188"/>
    <x v="2"/>
    <x v="1"/>
    <x v="3"/>
    <x v="1188"/>
    <n v="21761"/>
    <n v="917281"/>
    <n v="2898"/>
    <n v="3"/>
    <d v="2025-04-06T00:00:00"/>
    <n v="2.3699999999999999E-2"/>
    <n v="3.1593372150954835"/>
    <n v="7253.666666666667"/>
  </r>
  <r>
    <n v="101189"/>
    <x v="1"/>
    <x v="5"/>
    <x v="1"/>
    <x v="1189"/>
    <n v="12729"/>
    <n v="27332"/>
    <n v="4604"/>
    <n v="20"/>
    <d v="2025-04-24T00:00:00"/>
    <n v="0.4657"/>
    <n v="168.44724132884531"/>
    <n v="636.45000000000005"/>
  </r>
  <r>
    <n v="101190"/>
    <x v="1"/>
    <x v="4"/>
    <x v="0"/>
    <x v="1190"/>
    <n v="67253"/>
    <n v="355266"/>
    <n v="1832"/>
    <n v="20"/>
    <d v="2025-04-25T00:00:00"/>
    <n v="0.1893"/>
    <n v="5.1566994871448433"/>
    <n v="3362.65"/>
  </r>
  <r>
    <n v="101191"/>
    <x v="2"/>
    <x v="4"/>
    <x v="4"/>
    <x v="1191"/>
    <n v="50143"/>
    <n v="983543"/>
    <n v="4151"/>
    <n v="8"/>
    <d v="2025-04-14T00:00:00"/>
    <n v="5.0999999999999997E-2"/>
    <n v="4.2204560451347835"/>
    <n v="6267.875"/>
  </r>
  <r>
    <n v="101192"/>
    <x v="0"/>
    <x v="6"/>
    <x v="2"/>
    <x v="1192"/>
    <n v="59899"/>
    <n v="847179"/>
    <n v="3332"/>
    <n v="21"/>
    <d v="2025-04-28T00:00:00"/>
    <n v="7.0699999999999999E-2"/>
    <n v="3.9330531092012433"/>
    <n v="2852.3333333333335"/>
  </r>
  <r>
    <n v="101193"/>
    <x v="3"/>
    <x v="0"/>
    <x v="0"/>
    <x v="1193"/>
    <n v="42752"/>
    <n v="197653"/>
    <n v="3239"/>
    <n v="16"/>
    <d v="2025-04-24T00:00:00"/>
    <n v="0.21629999999999999"/>
    <n v="16.387305024462062"/>
    <n v="2672"/>
  </r>
  <r>
    <n v="101194"/>
    <x v="0"/>
    <x v="2"/>
    <x v="3"/>
    <x v="1194"/>
    <n v="31397"/>
    <n v="453799"/>
    <n v="4010"/>
    <n v="2"/>
    <d v="2025-04-11T00:00:00"/>
    <n v="6.9199999999999998E-2"/>
    <n v="8.8365113188878777"/>
    <n v="15698.5"/>
  </r>
  <r>
    <n v="101195"/>
    <x v="2"/>
    <x v="4"/>
    <x v="0"/>
    <x v="1195"/>
    <n v="19737"/>
    <n v="574118"/>
    <n v="4678"/>
    <n v="10"/>
    <d v="2025-04-20T00:00:00"/>
    <n v="3.44E-2"/>
    <n v="8.1481507285958639"/>
    <n v="1973.7"/>
  </r>
  <r>
    <n v="101196"/>
    <x v="2"/>
    <x v="2"/>
    <x v="4"/>
    <x v="1196"/>
    <n v="5504"/>
    <n v="106795"/>
    <n v="2979"/>
    <n v="6"/>
    <d v="2025-04-17T00:00:00"/>
    <n v="5.1499999999999997E-2"/>
    <n v="27.894564352263682"/>
    <n v="917.33333333333337"/>
  </r>
  <r>
    <n v="101197"/>
    <x v="1"/>
    <x v="0"/>
    <x v="2"/>
    <x v="1197"/>
    <n v="20544"/>
    <n v="514482"/>
    <n v="4224"/>
    <n v="1"/>
    <d v="2025-04-13T00:00:00"/>
    <n v="3.9899999999999998E-2"/>
    <n v="8.2101997737530183"/>
    <n v="20544"/>
  </r>
  <r>
    <n v="101198"/>
    <x v="2"/>
    <x v="5"/>
    <x v="2"/>
    <x v="1198"/>
    <n v="72138"/>
    <n v="712637"/>
    <n v="474"/>
    <n v="2"/>
    <d v="2025-04-15T00:00:00"/>
    <n v="0.1012"/>
    <n v="0.66513526521917898"/>
    <n v="36069"/>
  </r>
  <r>
    <n v="101199"/>
    <x v="0"/>
    <x v="5"/>
    <x v="2"/>
    <x v="1199"/>
    <n v="94111"/>
    <n v="900124"/>
    <n v="367"/>
    <n v="23"/>
    <d v="2025-05-07T00:00:00"/>
    <n v="0.1046"/>
    <n v="0.4077216028013918"/>
    <n v="4091.782608695652"/>
  </r>
  <r>
    <n v="101200"/>
    <x v="1"/>
    <x v="4"/>
    <x v="0"/>
    <x v="1200"/>
    <n v="95241"/>
    <n v="339463"/>
    <n v="1788"/>
    <n v="2"/>
    <d v="2025-04-17T00:00:00"/>
    <n v="0.28060000000000002"/>
    <n v="5.2671425162683416"/>
    <n v="47620.5"/>
  </r>
  <r>
    <n v="101201"/>
    <x v="1"/>
    <x v="2"/>
    <x v="3"/>
    <x v="1201"/>
    <n v="17963"/>
    <n v="731634"/>
    <n v="3666"/>
    <n v="17"/>
    <d v="2025-05-03T00:00:00"/>
    <n v="2.46E-2"/>
    <n v="5.010702072347649"/>
    <n v="1056.6470588235295"/>
  </r>
  <r>
    <n v="101202"/>
    <x v="0"/>
    <x v="2"/>
    <x v="2"/>
    <x v="1202"/>
    <n v="19824"/>
    <n v="974637"/>
    <n v="3075"/>
    <n v="16"/>
    <d v="2025-05-03T00:00:00"/>
    <n v="2.0299999999999999E-2"/>
    <n v="3.155020792356539"/>
    <n v="1239"/>
  </r>
  <r>
    <n v="101203"/>
    <x v="0"/>
    <x v="6"/>
    <x v="0"/>
    <x v="1203"/>
    <n v="49735"/>
    <n v="951528"/>
    <n v="1503"/>
    <n v="2"/>
    <d v="2025-04-20T00:00:00"/>
    <n v="5.2299999999999999E-2"/>
    <n v="1.5795646581078013"/>
    <n v="24867.5"/>
  </r>
  <r>
    <n v="101204"/>
    <x v="2"/>
    <x v="1"/>
    <x v="1"/>
    <x v="1204"/>
    <n v="87105"/>
    <n v="211799"/>
    <n v="3535"/>
    <n v="20"/>
    <d v="2025-05-09T00:00:00"/>
    <n v="0.4113"/>
    <n v="16.690352645668771"/>
    <n v="4355.25"/>
  </r>
  <r>
    <n v="101205"/>
    <x v="2"/>
    <x v="5"/>
    <x v="0"/>
    <x v="1205"/>
    <n v="26414"/>
    <n v="507945"/>
    <n v="831"/>
    <n v="29"/>
    <d v="2025-05-19T00:00:00"/>
    <n v="5.1999999999999998E-2"/>
    <n v="1.6360038980598293"/>
    <n v="910.82758620689651"/>
  </r>
  <r>
    <n v="101206"/>
    <x v="1"/>
    <x v="1"/>
    <x v="2"/>
    <x v="1206"/>
    <n v="50746"/>
    <n v="861202"/>
    <n v="4608"/>
    <n v="24"/>
    <d v="2025-05-15T00:00:00"/>
    <n v="5.8900000000000001E-2"/>
    <n v="5.3506610528075882"/>
    <n v="2114.4166666666665"/>
  </r>
  <r>
    <n v="101207"/>
    <x v="1"/>
    <x v="4"/>
    <x v="0"/>
    <x v="1207"/>
    <n v="80417"/>
    <n v="193413"/>
    <n v="3247"/>
    <n v="21"/>
    <d v="2025-05-13T00:00:00"/>
    <n v="0.4158"/>
    <n v="16.787909809578466"/>
    <n v="3829.3809523809523"/>
  </r>
  <r>
    <n v="101208"/>
    <x v="2"/>
    <x v="5"/>
    <x v="1"/>
    <x v="1208"/>
    <n v="70919"/>
    <n v="674964"/>
    <n v="4001"/>
    <n v="23"/>
    <d v="2025-05-16T00:00:00"/>
    <n v="0.1051"/>
    <n v="5.9277235526635499"/>
    <n v="3083.4347826086955"/>
  </r>
  <r>
    <n v="101209"/>
    <x v="1"/>
    <x v="4"/>
    <x v="3"/>
    <x v="1209"/>
    <n v="12047"/>
    <n v="732780"/>
    <n v="2620"/>
    <n v="26"/>
    <d v="2025-05-20T00:00:00"/>
    <n v="1.6400000000000001E-2"/>
    <n v="3.5754250934796254"/>
    <n v="463.34615384615387"/>
  </r>
  <r>
    <n v="101210"/>
    <x v="0"/>
    <x v="4"/>
    <x v="0"/>
    <x v="1210"/>
    <n v="95183"/>
    <n v="215010"/>
    <n v="2156"/>
    <n v="11"/>
    <d v="2025-05-06T00:00:00"/>
    <n v="0.44269999999999998"/>
    <n v="10.027440584158876"/>
    <n v="8653"/>
  </r>
  <r>
    <n v="101211"/>
    <x v="0"/>
    <x v="5"/>
    <x v="2"/>
    <x v="1211"/>
    <n v="64440"/>
    <n v="915049"/>
    <n v="4076"/>
    <n v="22"/>
    <d v="2025-05-18T00:00:00"/>
    <n v="7.0400000000000004E-2"/>
    <n v="4.4544062667682276"/>
    <n v="2929.090909090909"/>
  </r>
  <r>
    <n v="101212"/>
    <x v="1"/>
    <x v="4"/>
    <x v="0"/>
    <x v="1212"/>
    <n v="46035"/>
    <n v="72664"/>
    <n v="4703"/>
    <n v="12"/>
    <d v="2025-05-09T00:00:00"/>
    <n v="0.63349999999999995"/>
    <n v="64.722558626004627"/>
    <n v="3836.25"/>
  </r>
  <r>
    <n v="101213"/>
    <x v="2"/>
    <x v="3"/>
    <x v="0"/>
    <x v="1213"/>
    <n v="56545"/>
    <n v="987547"/>
    <n v="495"/>
    <n v="23"/>
    <d v="2025-05-21T00:00:00"/>
    <n v="5.7299999999999997E-2"/>
    <n v="0.50124196620515282"/>
    <n v="2458.478260869565"/>
  </r>
  <r>
    <n v="101214"/>
    <x v="2"/>
    <x v="2"/>
    <x v="3"/>
    <x v="1214"/>
    <n v="18979"/>
    <n v="660621"/>
    <n v="2266"/>
    <n v="18"/>
    <d v="2025-05-17T00:00:00"/>
    <n v="2.87E-2"/>
    <n v="3.4301059154946634"/>
    <n v="1054.3888888888889"/>
  </r>
  <r>
    <n v="101215"/>
    <x v="1"/>
    <x v="5"/>
    <x v="0"/>
    <x v="1215"/>
    <n v="81173"/>
    <n v="11162"/>
    <n v="2452"/>
    <n v="17"/>
    <d v="2025-05-17T00:00:00"/>
    <n v="7.2723000000000004"/>
    <n v="219.67389356746102"/>
    <n v="4774.8823529411766"/>
  </r>
  <r>
    <n v="101216"/>
    <x v="2"/>
    <x v="6"/>
    <x v="2"/>
    <x v="1216"/>
    <n v="99169"/>
    <n v="969363"/>
    <n v="221"/>
    <n v="7"/>
    <d v="2025-05-08T00:00:00"/>
    <n v="0.1023"/>
    <n v="0.22798476937947909"/>
    <n v="14167"/>
  </r>
  <r>
    <n v="101217"/>
    <x v="1"/>
    <x v="5"/>
    <x v="4"/>
    <x v="1217"/>
    <n v="17478"/>
    <n v="378524"/>
    <n v="1711"/>
    <n v="18"/>
    <d v="2025-05-20T00:00:00"/>
    <n v="4.6199999999999998E-2"/>
    <n v="4.5201889444262449"/>
    <n v="971"/>
  </r>
  <r>
    <n v="101218"/>
    <x v="1"/>
    <x v="4"/>
    <x v="2"/>
    <x v="1218"/>
    <n v="95188"/>
    <n v="492689"/>
    <n v="789"/>
    <n v="22"/>
    <d v="2025-05-25T00:00:00"/>
    <n v="0.19320000000000001"/>
    <n v="1.6014159033386173"/>
    <n v="4326.727272727273"/>
  </r>
  <r>
    <n v="101219"/>
    <x v="2"/>
    <x v="6"/>
    <x v="1"/>
    <x v="1219"/>
    <n v="68271"/>
    <n v="994551"/>
    <n v="1861"/>
    <n v="1"/>
    <d v="2025-05-05T00:00:00"/>
    <n v="6.8599999999999994E-2"/>
    <n v="1.8711961478094135"/>
    <n v="68271"/>
  </r>
  <r>
    <n v="101220"/>
    <x v="2"/>
    <x v="5"/>
    <x v="1"/>
    <x v="1220"/>
    <n v="87944"/>
    <n v="440327"/>
    <n v="840"/>
    <n v="8"/>
    <d v="2025-05-13T00:00:00"/>
    <n v="0.19969999999999999"/>
    <n v="1.907673161082559"/>
    <n v="10993"/>
  </r>
  <r>
    <n v="101221"/>
    <x v="2"/>
    <x v="2"/>
    <x v="4"/>
    <x v="1221"/>
    <n v="33591"/>
    <n v="444187"/>
    <n v="4361"/>
    <n v="10"/>
    <d v="2025-05-16T00:00:00"/>
    <n v="7.5600000000000001E-2"/>
    <n v="9.8179370400304382"/>
    <n v="3359.1"/>
  </r>
  <r>
    <n v="101222"/>
    <x v="0"/>
    <x v="5"/>
    <x v="1"/>
    <x v="1222"/>
    <n v="42821"/>
    <n v="697796"/>
    <n v="2205"/>
    <n v="15"/>
    <d v="2025-05-22T00:00:00"/>
    <n v="6.1400000000000003E-2"/>
    <n v="3.1599493261640941"/>
    <n v="2854.7333333333331"/>
  </r>
  <r>
    <n v="101223"/>
    <x v="1"/>
    <x v="3"/>
    <x v="2"/>
    <x v="1223"/>
    <n v="68390"/>
    <n v="353235"/>
    <n v="2810"/>
    <n v="26"/>
    <d v="2025-06-03T00:00:00"/>
    <n v="0.19359999999999999"/>
    <n v="7.9550440924596941"/>
    <n v="2630.3846153846152"/>
  </r>
  <r>
    <n v="101224"/>
    <x v="2"/>
    <x v="0"/>
    <x v="1"/>
    <x v="1224"/>
    <n v="82568"/>
    <n v="968981"/>
    <n v="762"/>
    <n v="11"/>
    <d v="2025-05-20T00:00:00"/>
    <n v="8.5199999999999998E-2"/>
    <n v="0.78639312845143505"/>
    <n v="7506.181818181818"/>
  </r>
  <r>
    <n v="101225"/>
    <x v="0"/>
    <x v="4"/>
    <x v="0"/>
    <x v="1225"/>
    <n v="1815"/>
    <n v="26805"/>
    <n v="3322"/>
    <n v="9"/>
    <d v="2025-05-19T00:00:00"/>
    <n v="6.7699999999999996E-2"/>
    <n v="123.93210221973513"/>
    <n v="201.66666666666666"/>
  </r>
  <r>
    <n v="101226"/>
    <x v="1"/>
    <x v="3"/>
    <x v="4"/>
    <x v="1226"/>
    <n v="89013"/>
    <n v="756669"/>
    <n v="4663"/>
    <n v="24"/>
    <d v="2025-06-04T00:00:00"/>
    <n v="0.1176"/>
    <n v="6.1625360626641239"/>
    <n v="3708.875"/>
  </r>
  <r>
    <n v="101227"/>
    <x v="1"/>
    <x v="0"/>
    <x v="0"/>
    <x v="1227"/>
    <n v="67234"/>
    <n v="980117"/>
    <n v="808"/>
    <n v="17"/>
    <d v="2025-05-29T00:00:00"/>
    <n v="6.8599999999999994E-2"/>
    <n v="0.8243913736829378"/>
    <n v="3954.9411764705883"/>
  </r>
  <r>
    <n v="101228"/>
    <x v="3"/>
    <x v="0"/>
    <x v="3"/>
    <x v="1228"/>
    <n v="48352"/>
    <n v="418170"/>
    <n v="2573"/>
    <n v="5"/>
    <d v="2025-05-18T00:00:00"/>
    <n v="0.11559999999999999"/>
    <n v="6.1529999760862806"/>
    <n v="9670.4"/>
  </r>
  <r>
    <n v="101229"/>
    <x v="2"/>
    <x v="1"/>
    <x v="4"/>
    <x v="1229"/>
    <n v="75191"/>
    <n v="230427"/>
    <n v="4363"/>
    <n v="6"/>
    <d v="2025-05-20T00:00:00"/>
    <n v="0.32629999999999998"/>
    <n v="18.934413067913049"/>
    <n v="12531.833333333334"/>
  </r>
  <r>
    <n v="101230"/>
    <x v="2"/>
    <x v="6"/>
    <x v="3"/>
    <x v="1230"/>
    <n v="97362"/>
    <n v="412242"/>
    <n v="1321"/>
    <n v="12"/>
    <d v="2025-05-27T00:00:00"/>
    <n v="0.23619999999999999"/>
    <n v="3.2044284667743703"/>
    <n v="8113.5"/>
  </r>
  <r>
    <n v="101231"/>
    <x v="1"/>
    <x v="2"/>
    <x v="3"/>
    <x v="1231"/>
    <n v="77739"/>
    <n v="376720"/>
    <n v="2581"/>
    <n v="19"/>
    <d v="2025-06-04T00:00:00"/>
    <n v="0.2064"/>
    <n v="6.851242301974942"/>
    <n v="4091.5263157894738"/>
  </r>
  <r>
    <n v="101232"/>
    <x v="2"/>
    <x v="0"/>
    <x v="3"/>
    <x v="1232"/>
    <n v="79578"/>
    <n v="188479"/>
    <n v="786"/>
    <n v="14"/>
    <d v="2025-05-31T00:00:00"/>
    <n v="0.42220000000000002"/>
    <n v="4.1702258607059672"/>
    <n v="5684.1428571428569"/>
  </r>
  <r>
    <n v="101233"/>
    <x v="1"/>
    <x v="3"/>
    <x v="4"/>
    <x v="1233"/>
    <n v="75712"/>
    <n v="629072"/>
    <n v="2908"/>
    <n v="16"/>
    <d v="2025-06-03T00:00:00"/>
    <n v="0.12039999999999999"/>
    <n v="4.6226823002772344"/>
    <n v="4732"/>
  </r>
  <r>
    <n v="101234"/>
    <x v="2"/>
    <x v="3"/>
    <x v="0"/>
    <x v="1234"/>
    <n v="59499"/>
    <n v="145149"/>
    <n v="923"/>
    <n v="26"/>
    <d v="2025-06-14T00:00:00"/>
    <n v="0.40989999999999999"/>
    <n v="6.3589828383247564"/>
    <n v="2288.4230769230771"/>
  </r>
  <r>
    <n v="101235"/>
    <x v="2"/>
    <x v="5"/>
    <x v="4"/>
    <x v="1235"/>
    <n v="66404"/>
    <n v="307609"/>
    <n v="1875"/>
    <n v="19"/>
    <d v="2025-06-08T00:00:00"/>
    <n v="0.21590000000000001"/>
    <n v="6.0954003296392498"/>
    <n v="3494.9473684210525"/>
  </r>
  <r>
    <n v="101236"/>
    <x v="2"/>
    <x v="0"/>
    <x v="4"/>
    <x v="1236"/>
    <n v="61012"/>
    <n v="516309"/>
    <n v="2087"/>
    <n v="2"/>
    <d v="2025-05-23T00:00:00"/>
    <n v="0.1182"/>
    <n v="4.0421530517577651"/>
    <n v="30506"/>
  </r>
  <r>
    <n v="101237"/>
    <x v="1"/>
    <x v="1"/>
    <x v="0"/>
    <x v="1237"/>
    <n v="22399"/>
    <n v="708578"/>
    <n v="4578"/>
    <n v="18"/>
    <d v="2025-06-09T00:00:00"/>
    <n v="3.1600000000000003E-2"/>
    <n v="6.4608271778124644"/>
    <n v="1244.3888888888889"/>
  </r>
  <r>
    <n v="101238"/>
    <x v="2"/>
    <x v="1"/>
    <x v="2"/>
    <x v="1238"/>
    <n v="21660"/>
    <n v="315998"/>
    <n v="4766"/>
    <n v="23"/>
    <d v="2025-06-15T00:00:00"/>
    <n v="6.8500000000000005E-2"/>
    <n v="15.082373939075563"/>
    <n v="941.73913043478262"/>
  </r>
  <r>
    <n v="101239"/>
    <x v="2"/>
    <x v="2"/>
    <x v="3"/>
    <x v="1239"/>
    <n v="53404"/>
    <n v="112801"/>
    <n v="819"/>
    <n v="14"/>
    <d v="2025-06-07T00:00:00"/>
    <n v="0.47339999999999999"/>
    <n v="7.2605739310821713"/>
    <n v="3814.5714285714284"/>
  </r>
  <r>
    <n v="101240"/>
    <x v="0"/>
    <x v="2"/>
    <x v="2"/>
    <x v="1240"/>
    <n v="49846"/>
    <n v="250294"/>
    <n v="4925"/>
    <n v="28"/>
    <d v="2025-06-22T00:00:00"/>
    <n v="0.1991"/>
    <n v="19.676860012625152"/>
    <n v="1780.2142857142858"/>
  </r>
  <r>
    <n v="101241"/>
    <x v="2"/>
    <x v="3"/>
    <x v="3"/>
    <x v="1241"/>
    <n v="76223"/>
    <n v="538674"/>
    <n v="3734"/>
    <n v="22"/>
    <d v="2025-06-17T00:00:00"/>
    <n v="0.14149999999999999"/>
    <n v="6.9318363240104404"/>
    <n v="3464.681818181818"/>
  </r>
  <r>
    <n v="101242"/>
    <x v="2"/>
    <x v="4"/>
    <x v="2"/>
    <x v="1242"/>
    <n v="89526"/>
    <n v="850878"/>
    <n v="4017"/>
    <n v="19"/>
    <d v="2025-06-15T00:00:00"/>
    <n v="0.1052"/>
    <n v="4.7210058316233345"/>
    <n v="4711.894736842105"/>
  </r>
  <r>
    <n v="101243"/>
    <x v="2"/>
    <x v="6"/>
    <x v="0"/>
    <x v="1243"/>
    <n v="88985"/>
    <n v="597168"/>
    <n v="536"/>
    <n v="19"/>
    <d v="2025-06-16T00:00:00"/>
    <n v="0.14899999999999999"/>
    <n v="0.89756986308710451"/>
    <n v="4683.4210526315792"/>
  </r>
  <r>
    <n v="101244"/>
    <x v="2"/>
    <x v="2"/>
    <x v="2"/>
    <x v="1244"/>
    <n v="22365"/>
    <n v="659832"/>
    <n v="4880"/>
    <n v="27"/>
    <d v="2025-06-25T00:00:00"/>
    <n v="3.39E-2"/>
    <n v="7.3958219668036715"/>
    <n v="828.33333333333337"/>
  </r>
  <r>
    <n v="101245"/>
    <x v="2"/>
    <x v="1"/>
    <x v="0"/>
    <x v="1245"/>
    <n v="87043"/>
    <n v="383685"/>
    <n v="3430"/>
    <n v="6"/>
    <d v="2025-06-05T00:00:00"/>
    <n v="0.22689999999999999"/>
    <n v="8.9396249527607274"/>
    <n v="14507.166666666666"/>
  </r>
  <r>
    <n v="101246"/>
    <x v="1"/>
    <x v="0"/>
    <x v="0"/>
    <x v="1246"/>
    <n v="23300"/>
    <n v="952151"/>
    <n v="1849"/>
    <n v="28"/>
    <d v="2025-06-28T00:00:00"/>
    <n v="2.4500000000000001E-2"/>
    <n v="1.9419188763126858"/>
    <n v="832.14285714285711"/>
  </r>
  <r>
    <n v="101247"/>
    <x v="2"/>
    <x v="2"/>
    <x v="4"/>
    <x v="1247"/>
    <n v="96106"/>
    <n v="718366"/>
    <n v="2898"/>
    <n v="4"/>
    <d v="2025-06-05T00:00:00"/>
    <n v="0.1338"/>
    <n v="4.0341552913138985"/>
    <n v="24026.5"/>
  </r>
  <r>
    <n v="101248"/>
    <x v="0"/>
    <x v="0"/>
    <x v="0"/>
    <x v="1248"/>
    <n v="9842"/>
    <n v="735439"/>
    <n v="3037"/>
    <n v="13"/>
    <d v="2025-06-15T00:00:00"/>
    <n v="1.34E-2"/>
    <n v="4.129506322074298"/>
    <n v="757.07692307692309"/>
  </r>
  <r>
    <n v="101249"/>
    <x v="3"/>
    <x v="2"/>
    <x v="3"/>
    <x v="1249"/>
    <n v="32514"/>
    <n v="495407"/>
    <n v="999"/>
    <n v="29"/>
    <d v="2025-07-02T00:00:00"/>
    <n v="6.5600000000000006E-2"/>
    <n v="2.0165237875120861"/>
    <n v="1121.1724137931035"/>
  </r>
  <r>
    <n v="101250"/>
    <x v="2"/>
    <x v="6"/>
    <x v="3"/>
    <x v="1250"/>
    <n v="95984"/>
    <n v="103711"/>
    <n v="2130"/>
    <n v="29"/>
    <d v="2025-07-03T00:00:00"/>
    <n v="0.92549999999999999"/>
    <n v="20.53784073049146"/>
    <n v="3309.7931034482758"/>
  </r>
  <r>
    <n v="101251"/>
    <x v="2"/>
    <x v="4"/>
    <x v="0"/>
    <x v="1251"/>
    <n v="9266"/>
    <n v="398150"/>
    <n v="826"/>
    <n v="3"/>
    <d v="2025-06-08T00:00:00"/>
    <n v="2.3300000000000001E-2"/>
    <n v="2.0745950018837123"/>
    <n v="3088.6666666666665"/>
  </r>
  <r>
    <n v="101252"/>
    <x v="2"/>
    <x v="6"/>
    <x v="3"/>
    <x v="1252"/>
    <n v="28869"/>
    <n v="378298"/>
    <n v="4019"/>
    <n v="8"/>
    <d v="2025-06-14T00:00:00"/>
    <n v="7.6300000000000007E-2"/>
    <n v="10.623899676974238"/>
    <n v="3608.625"/>
  </r>
  <r>
    <n v="101253"/>
    <x v="1"/>
    <x v="3"/>
    <x v="2"/>
    <x v="1253"/>
    <n v="97791"/>
    <n v="902005"/>
    <n v="470"/>
    <n v="7"/>
    <d v="2025-06-14T00:00:00"/>
    <n v="0.1084"/>
    <n v="0.52106141318507104"/>
    <n v="13970.142857142857"/>
  </r>
  <r>
    <n v="101254"/>
    <x v="2"/>
    <x v="6"/>
    <x v="3"/>
    <x v="1254"/>
    <n v="22477"/>
    <n v="958888"/>
    <n v="237"/>
    <n v="18"/>
    <d v="2025-06-26T00:00:00"/>
    <n v="2.3400000000000001E-2"/>
    <n v="0.24716129516690163"/>
    <n v="1248.7222222222222"/>
  </r>
  <r>
    <n v="101255"/>
    <x v="0"/>
    <x v="1"/>
    <x v="4"/>
    <x v="1255"/>
    <n v="89618"/>
    <n v="699071"/>
    <n v="4341"/>
    <n v="25"/>
    <d v="2025-07-04T00:00:00"/>
    <n v="0.12820000000000001"/>
    <n v="6.2096696902031416"/>
    <n v="3584.72"/>
  </r>
  <r>
    <n v="101256"/>
    <x v="0"/>
    <x v="3"/>
    <x v="3"/>
    <x v="1256"/>
    <n v="68945"/>
    <n v="185904"/>
    <n v="2286"/>
    <n v="13"/>
    <d v="2025-06-23T00:00:00"/>
    <n v="0.37090000000000001"/>
    <n v="12.296669248644463"/>
    <n v="5303.4615384615381"/>
  </r>
  <r>
    <n v="101257"/>
    <x v="0"/>
    <x v="6"/>
    <x v="0"/>
    <x v="1257"/>
    <n v="10362"/>
    <n v="610386"/>
    <n v="2207"/>
    <n v="14"/>
    <d v="2025-06-25T00:00:00"/>
    <n v="1.7000000000000001E-2"/>
    <n v="3.615744791001104"/>
    <n v="740.14285714285711"/>
  </r>
  <r>
    <n v="101258"/>
    <x v="1"/>
    <x v="6"/>
    <x v="1"/>
    <x v="1258"/>
    <n v="94147"/>
    <n v="151405"/>
    <n v="335"/>
    <n v="9"/>
    <d v="2025-06-21T00:00:00"/>
    <n v="0.62180000000000002"/>
    <n v="2.212608566427793"/>
    <n v="10460.777777777777"/>
  </r>
  <r>
    <n v="101259"/>
    <x v="3"/>
    <x v="0"/>
    <x v="4"/>
    <x v="1259"/>
    <n v="71168"/>
    <n v="766452"/>
    <n v="3304"/>
    <n v="20"/>
    <d v="2025-07-03T00:00:00"/>
    <n v="9.2899999999999996E-2"/>
    <n v="4.3107722336167171"/>
    <n v="3558.4"/>
  </r>
  <r>
    <n v="101260"/>
    <x v="2"/>
    <x v="4"/>
    <x v="0"/>
    <x v="1260"/>
    <n v="6248"/>
    <n v="305518"/>
    <n v="4688"/>
    <n v="14"/>
    <d v="2025-06-28T00:00:00"/>
    <n v="2.0500000000000001E-2"/>
    <n v="15.344431424662377"/>
    <n v="446.28571428571428"/>
  </r>
  <r>
    <n v="101261"/>
    <x v="1"/>
    <x v="2"/>
    <x v="1"/>
    <x v="1261"/>
    <n v="93199"/>
    <n v="95444"/>
    <n v="4981"/>
    <n v="11"/>
    <d v="2025-06-26T00:00:00"/>
    <n v="0.97650000000000003"/>
    <n v="52.187670256904575"/>
    <n v="8472.636363636364"/>
  </r>
  <r>
    <n v="101262"/>
    <x v="2"/>
    <x v="0"/>
    <x v="4"/>
    <x v="1262"/>
    <n v="24029"/>
    <n v="923501"/>
    <n v="4381"/>
    <n v="24"/>
    <d v="2025-07-10T00:00:00"/>
    <n v="2.5999999999999999E-2"/>
    <n v="4.7439039048143972"/>
    <n v="1001.2083333333334"/>
  </r>
  <r>
    <n v="101263"/>
    <x v="3"/>
    <x v="2"/>
    <x v="4"/>
    <x v="1263"/>
    <n v="45029"/>
    <n v="402172"/>
    <n v="3107"/>
    <n v="27"/>
    <d v="2025-07-14T00:00:00"/>
    <n v="0.112"/>
    <n v="7.7255502620769221"/>
    <n v="1667.7407407407406"/>
  </r>
  <r>
    <n v="101264"/>
    <x v="1"/>
    <x v="2"/>
    <x v="4"/>
    <x v="1264"/>
    <n v="73840"/>
    <n v="71437"/>
    <n v="299"/>
    <n v="8"/>
    <d v="2025-06-26T00:00:00"/>
    <n v="1.0336000000000001"/>
    <n v="4.185506110278987"/>
    <n v="9230"/>
  </r>
  <r>
    <n v="101265"/>
    <x v="0"/>
    <x v="1"/>
    <x v="4"/>
    <x v="1265"/>
    <n v="47966"/>
    <n v="577434"/>
    <n v="3863"/>
    <n v="13"/>
    <d v="2025-07-02T00:00:00"/>
    <n v="8.3099999999999993E-2"/>
    <n v="6.6899420539836587"/>
    <n v="3689.6923076923076"/>
  </r>
  <r>
    <n v="101266"/>
    <x v="2"/>
    <x v="0"/>
    <x v="3"/>
    <x v="1266"/>
    <n v="5046"/>
    <n v="24307"/>
    <n v="2387"/>
    <n v="16"/>
    <d v="2025-07-06T00:00:00"/>
    <n v="0.20760000000000001"/>
    <n v="98.202163985683143"/>
    <n v="315.375"/>
  </r>
  <r>
    <n v="101267"/>
    <x v="3"/>
    <x v="2"/>
    <x v="4"/>
    <x v="1267"/>
    <n v="29879"/>
    <n v="933658"/>
    <n v="1403"/>
    <n v="20"/>
    <d v="2025-07-11T00:00:00"/>
    <n v="3.2000000000000001E-2"/>
    <n v="1.5026915637203346"/>
    <n v="1493.95"/>
  </r>
  <r>
    <n v="101268"/>
    <x v="1"/>
    <x v="0"/>
    <x v="4"/>
    <x v="1268"/>
    <n v="30463"/>
    <n v="462402"/>
    <n v="1609"/>
    <n v="5"/>
    <d v="2025-06-27T00:00:00"/>
    <n v="6.59E-2"/>
    <n v="3.4796562298605975"/>
    <n v="6092.6"/>
  </r>
  <r>
    <n v="101269"/>
    <x v="1"/>
    <x v="1"/>
    <x v="0"/>
    <x v="1269"/>
    <n v="98506"/>
    <n v="479080"/>
    <n v="791"/>
    <n v="21"/>
    <d v="2025-07-14T00:00:00"/>
    <n v="0.2056"/>
    <n v="1.6510812390414962"/>
    <n v="4690.7619047619046"/>
  </r>
  <r>
    <n v="101270"/>
    <x v="3"/>
    <x v="3"/>
    <x v="4"/>
    <x v="1270"/>
    <n v="45121"/>
    <n v="200428"/>
    <n v="3321"/>
    <n v="1"/>
    <d v="2025-06-25T00:00:00"/>
    <n v="0.22509999999999999"/>
    <n v="16.569541181870797"/>
    <n v="45121"/>
  </r>
  <r>
    <n v="101271"/>
    <x v="2"/>
    <x v="5"/>
    <x v="0"/>
    <x v="1271"/>
    <n v="59106"/>
    <n v="476114"/>
    <n v="1649"/>
    <n v="29"/>
    <d v="2025-07-24T00:00:00"/>
    <n v="0.1241"/>
    <n v="3.46345623107071"/>
    <n v="2038.1379310344828"/>
  </r>
  <r>
    <n v="101272"/>
    <x v="2"/>
    <x v="0"/>
    <x v="3"/>
    <x v="1272"/>
    <n v="55549"/>
    <n v="722688"/>
    <n v="716"/>
    <n v="28"/>
    <d v="2025-07-24T00:00:00"/>
    <n v="7.6899999999999996E-2"/>
    <n v="0.99074566064470426"/>
    <n v="1983.8928571428571"/>
  </r>
  <r>
    <n v="101273"/>
    <x v="1"/>
    <x v="1"/>
    <x v="0"/>
    <x v="1273"/>
    <n v="56344"/>
    <n v="848571"/>
    <n v="2547"/>
    <n v="7"/>
    <d v="2025-07-04T00:00:00"/>
    <n v="6.6400000000000001E-2"/>
    <n v="3.0015166674326603"/>
    <n v="8049.1428571428569"/>
  </r>
  <r>
    <n v="101274"/>
    <x v="2"/>
    <x v="1"/>
    <x v="4"/>
    <x v="1274"/>
    <n v="14239"/>
    <n v="418132"/>
    <n v="391"/>
    <n v="3"/>
    <d v="2025-07-01T00:00:00"/>
    <n v="3.4099999999999998E-2"/>
    <n v="0.93511140022767936"/>
    <n v="4746.333333333333"/>
  </r>
  <r>
    <n v="101275"/>
    <x v="2"/>
    <x v="4"/>
    <x v="4"/>
    <x v="1275"/>
    <n v="4388"/>
    <n v="752038"/>
    <n v="1363"/>
    <n v="18"/>
    <d v="2025-07-17T00:00:00"/>
    <n v="5.7999999999999996E-3"/>
    <n v="1.8124084155321938"/>
    <n v="243.77777777777777"/>
  </r>
  <r>
    <n v="101276"/>
    <x v="2"/>
    <x v="3"/>
    <x v="2"/>
    <x v="1276"/>
    <n v="38147"/>
    <n v="994431"/>
    <n v="2880"/>
    <n v="17"/>
    <d v="2025-07-17T00:00:00"/>
    <n v="3.8399999999999997E-2"/>
    <n v="2.8961285398383598"/>
    <n v="2243.9411764705883"/>
  </r>
  <r>
    <n v="101277"/>
    <x v="2"/>
    <x v="2"/>
    <x v="4"/>
    <x v="1277"/>
    <n v="9448"/>
    <n v="439484"/>
    <n v="1655"/>
    <n v="23"/>
    <d v="2025-07-24T00:00:00"/>
    <n v="2.1499999999999998E-2"/>
    <n v="3.7657798691192399"/>
    <n v="410.78260869565219"/>
  </r>
  <r>
    <n v="101278"/>
    <x v="0"/>
    <x v="6"/>
    <x v="3"/>
    <x v="1278"/>
    <n v="91896"/>
    <n v="268080"/>
    <n v="1435"/>
    <n v="19"/>
    <d v="2025-07-21T00:00:00"/>
    <n v="0.34279999999999999"/>
    <n v="5.3528797373918238"/>
    <n v="4836.6315789473683"/>
  </r>
  <r>
    <n v="101279"/>
    <x v="1"/>
    <x v="0"/>
    <x v="3"/>
    <x v="1279"/>
    <n v="17504"/>
    <n v="381785"/>
    <n v="3653"/>
    <n v="1"/>
    <d v="2025-07-04T00:00:00"/>
    <n v="4.58E-2"/>
    <n v="9.5682124756079983"/>
    <n v="17504"/>
  </r>
  <r>
    <n v="101280"/>
    <x v="2"/>
    <x v="1"/>
    <x v="0"/>
    <x v="1280"/>
    <n v="92781"/>
    <n v="312162"/>
    <n v="2345"/>
    <n v="6"/>
    <d v="2025-07-10T00:00:00"/>
    <n v="0.29720000000000002"/>
    <n v="7.5121251145238697"/>
    <n v="15463.5"/>
  </r>
  <r>
    <n v="101281"/>
    <x v="1"/>
    <x v="1"/>
    <x v="3"/>
    <x v="1281"/>
    <n v="18616"/>
    <n v="990286"/>
    <n v="2757"/>
    <n v="10"/>
    <d v="2025-07-15T00:00:00"/>
    <n v="1.8800000000000001E-2"/>
    <n v="2.7840442054113663"/>
    <n v="1861.6"/>
  </r>
  <r>
    <n v="101282"/>
    <x v="1"/>
    <x v="1"/>
    <x v="1"/>
    <x v="1282"/>
    <n v="44654"/>
    <n v="299949"/>
    <n v="3094"/>
    <n v="25"/>
    <d v="2025-07-31T00:00:00"/>
    <n v="0.1489"/>
    <n v="10.31508689810601"/>
    <n v="1786.16"/>
  </r>
  <r>
    <n v="101283"/>
    <x v="1"/>
    <x v="5"/>
    <x v="1"/>
    <x v="1283"/>
    <n v="7140"/>
    <n v="378412"/>
    <n v="1589"/>
    <n v="22"/>
    <d v="2025-07-29T00:00:00"/>
    <n v="1.89E-2"/>
    <n v="4.1991268775831632"/>
    <n v="324.54545454545456"/>
  </r>
  <r>
    <n v="101284"/>
    <x v="3"/>
    <x v="3"/>
    <x v="3"/>
    <x v="1284"/>
    <n v="45578"/>
    <n v="35969"/>
    <n v="3377"/>
    <n v="2"/>
    <d v="2025-07-10T00:00:00"/>
    <n v="1.2670999999999999"/>
    <n v="93.886402179654695"/>
    <n v="22789"/>
  </r>
  <r>
    <n v="101285"/>
    <x v="3"/>
    <x v="6"/>
    <x v="1"/>
    <x v="1285"/>
    <n v="44020"/>
    <n v="9892"/>
    <n v="3672"/>
    <n v="7"/>
    <d v="2025-07-16T00:00:00"/>
    <n v="4.4500999999999999"/>
    <n v="371.20905782450461"/>
    <n v="6288.5714285714284"/>
  </r>
  <r>
    <n v="101286"/>
    <x v="2"/>
    <x v="0"/>
    <x v="4"/>
    <x v="1286"/>
    <n v="92226"/>
    <n v="481835"/>
    <n v="4567"/>
    <n v="15"/>
    <d v="2025-07-25T00:00:00"/>
    <n v="0.19139999999999999"/>
    <n v="9.4783483972729261"/>
    <n v="6148.4"/>
  </r>
  <r>
    <n v="101287"/>
    <x v="2"/>
    <x v="1"/>
    <x v="2"/>
    <x v="1287"/>
    <n v="19755"/>
    <n v="503489"/>
    <n v="3873"/>
    <n v="26"/>
    <d v="2025-08-06T00:00:00"/>
    <n v="3.9199999999999999E-2"/>
    <n v="7.692322970313155"/>
    <n v="759.80769230769226"/>
  </r>
  <r>
    <n v="101288"/>
    <x v="1"/>
    <x v="1"/>
    <x v="0"/>
    <x v="1288"/>
    <n v="89177"/>
    <n v="759745"/>
    <n v="2179"/>
    <n v="8"/>
    <d v="2025-07-20T00:00:00"/>
    <n v="0.1174"/>
    <n v="2.8680675753048721"/>
    <n v="11147.125"/>
  </r>
  <r>
    <n v="101289"/>
    <x v="1"/>
    <x v="5"/>
    <x v="3"/>
    <x v="1289"/>
    <n v="34901"/>
    <n v="702741"/>
    <n v="251"/>
    <n v="24"/>
    <d v="2025-08-06T00:00:00"/>
    <n v="4.9700000000000001E-2"/>
    <n v="0.35717284177243114"/>
    <n v="1454.2083333333333"/>
  </r>
  <r>
    <n v="101290"/>
    <x v="1"/>
    <x v="6"/>
    <x v="0"/>
    <x v="1290"/>
    <n v="48344"/>
    <n v="336125"/>
    <n v="2376"/>
    <n v="6"/>
    <d v="2025-07-20T00:00:00"/>
    <n v="0.14380000000000001"/>
    <n v="7.0687988099665295"/>
    <n v="8057.333333333333"/>
  </r>
  <r>
    <n v="101291"/>
    <x v="1"/>
    <x v="3"/>
    <x v="0"/>
    <x v="1291"/>
    <n v="13871"/>
    <n v="406888"/>
    <n v="2370"/>
    <n v="5"/>
    <d v="2025-07-20T00:00:00"/>
    <n v="3.4099999999999998E-2"/>
    <n v="5.8246986885826075"/>
    <n v="2774.2"/>
  </r>
  <r>
    <n v="101292"/>
    <x v="1"/>
    <x v="5"/>
    <x v="2"/>
    <x v="1292"/>
    <n v="21003"/>
    <n v="842582"/>
    <n v="4886"/>
    <n v="1"/>
    <d v="2025-07-17T00:00:00"/>
    <n v="2.4899999999999999E-2"/>
    <n v="5.7988421304988718"/>
    <n v="21003"/>
  </r>
  <r>
    <n v="101293"/>
    <x v="2"/>
    <x v="1"/>
    <x v="4"/>
    <x v="1293"/>
    <n v="98003"/>
    <n v="373994"/>
    <n v="3505"/>
    <n v="27"/>
    <d v="2025-08-13T00:00:00"/>
    <n v="0.26200000000000001"/>
    <n v="9.3718081038733239"/>
    <n v="3629.7407407407409"/>
  </r>
  <r>
    <n v="101294"/>
    <x v="2"/>
    <x v="6"/>
    <x v="4"/>
    <x v="1294"/>
    <n v="6183"/>
    <n v="924567"/>
    <n v="2028"/>
    <n v="24"/>
    <d v="2025-08-11T00:00:00"/>
    <n v="6.7000000000000002E-3"/>
    <n v="2.1934592084727229"/>
    <n v="257.625"/>
  </r>
  <r>
    <n v="101295"/>
    <x v="2"/>
    <x v="3"/>
    <x v="3"/>
    <x v="1295"/>
    <n v="17800"/>
    <n v="257802"/>
    <n v="2508"/>
    <n v="1"/>
    <d v="2025-07-20T00:00:00"/>
    <n v="6.9000000000000006E-2"/>
    <n v="9.7283962110456859"/>
    <n v="17800"/>
  </r>
  <r>
    <n v="101296"/>
    <x v="2"/>
    <x v="1"/>
    <x v="2"/>
    <x v="1296"/>
    <n v="45194"/>
    <n v="230583"/>
    <n v="175"/>
    <n v="13"/>
    <d v="2025-08-02T00:00:00"/>
    <n v="0.19600000000000001"/>
    <n v="0.75894580259602828"/>
    <n v="3476.4615384615386"/>
  </r>
  <r>
    <n v="101297"/>
    <x v="2"/>
    <x v="2"/>
    <x v="4"/>
    <x v="1297"/>
    <n v="63877"/>
    <n v="577052"/>
    <n v="1837"/>
    <n v="5"/>
    <d v="2025-07-26T00:00:00"/>
    <n v="0.11070000000000001"/>
    <n v="3.1834219446427703"/>
    <n v="12775.4"/>
  </r>
  <r>
    <n v="101298"/>
    <x v="0"/>
    <x v="0"/>
    <x v="1"/>
    <x v="1298"/>
    <n v="70657"/>
    <n v="531451"/>
    <n v="298"/>
    <n v="9"/>
    <d v="2025-07-31T00:00:00"/>
    <n v="0.13300000000000001"/>
    <n v="0.56072902299553484"/>
    <n v="7850.7777777777774"/>
  </r>
  <r>
    <n v="101299"/>
    <x v="2"/>
    <x v="3"/>
    <x v="1"/>
    <x v="1299"/>
    <n v="83923"/>
    <n v="683919"/>
    <n v="3921"/>
    <n v="29"/>
    <d v="2025-08-21T00:00:00"/>
    <n v="0.1227"/>
    <n v="5.7331350642400629"/>
    <n v="2893.8965517241381"/>
  </r>
  <r>
    <n v="101300"/>
    <x v="2"/>
    <x v="5"/>
    <x v="2"/>
    <x v="1300"/>
    <n v="41686"/>
    <n v="434547"/>
    <n v="2629"/>
    <n v="14"/>
    <d v="2025-08-07T00:00:00"/>
    <n v="9.5899999999999999E-2"/>
    <n v="6.049978483340122"/>
    <n v="2977.5714285714284"/>
  </r>
  <r>
    <n v="101301"/>
    <x v="1"/>
    <x v="0"/>
    <x v="4"/>
    <x v="1301"/>
    <n v="37741"/>
    <n v="794293"/>
    <n v="796"/>
    <n v="29"/>
    <d v="2025-08-23T00:00:00"/>
    <n v="4.7500000000000001E-2"/>
    <n v="1.0021490810066309"/>
    <n v="1301.4137931034484"/>
  </r>
  <r>
    <n v="101302"/>
    <x v="0"/>
    <x v="4"/>
    <x v="1"/>
    <x v="1302"/>
    <n v="74479"/>
    <n v="254069"/>
    <n v="4907"/>
    <n v="16"/>
    <d v="2025-08-11T00:00:00"/>
    <n v="0.29310000000000003"/>
    <n v="19.313651016062565"/>
    <n v="4654.9375"/>
  </r>
  <r>
    <n v="101303"/>
    <x v="2"/>
    <x v="6"/>
    <x v="1"/>
    <x v="1303"/>
    <n v="33350"/>
    <n v="462120"/>
    <n v="3223"/>
    <n v="27"/>
    <d v="2025-08-23T00:00:00"/>
    <n v="7.22E-2"/>
    <n v="6.9743789491906867"/>
    <n v="1235.1851851851852"/>
  </r>
  <r>
    <n v="101304"/>
    <x v="0"/>
    <x v="3"/>
    <x v="3"/>
    <x v="1304"/>
    <n v="6153"/>
    <n v="379160"/>
    <n v="3638"/>
    <n v="14"/>
    <d v="2025-08-11T00:00:00"/>
    <n v="1.6199999999999999E-2"/>
    <n v="9.5948939761578238"/>
    <n v="439.5"/>
  </r>
  <r>
    <n v="101305"/>
    <x v="3"/>
    <x v="3"/>
    <x v="4"/>
    <x v="1305"/>
    <n v="63704"/>
    <n v="382867"/>
    <n v="4188"/>
    <n v="19"/>
    <d v="2025-08-17T00:00:00"/>
    <n v="0.16639999999999999"/>
    <n v="10.938524343962786"/>
    <n v="3352.8421052631579"/>
  </r>
  <r>
    <n v="101306"/>
    <x v="1"/>
    <x v="3"/>
    <x v="0"/>
    <x v="1306"/>
    <n v="21050"/>
    <n v="864867"/>
    <n v="2868"/>
    <n v="19"/>
    <d v="2025-08-18T00:00:00"/>
    <n v="2.4299999999999999E-2"/>
    <n v="3.3161168133366172"/>
    <n v="1107.8947368421052"/>
  </r>
  <r>
    <n v="101307"/>
    <x v="1"/>
    <x v="5"/>
    <x v="3"/>
    <x v="1307"/>
    <n v="66601"/>
    <n v="733826"/>
    <n v="4117"/>
    <n v="5"/>
    <d v="2025-08-05T00:00:00"/>
    <n v="9.0800000000000006E-2"/>
    <n v="5.6103217929045845"/>
    <n v="13320.2"/>
  </r>
  <r>
    <n v="101308"/>
    <x v="2"/>
    <x v="2"/>
    <x v="2"/>
    <x v="1308"/>
    <n v="21951"/>
    <n v="752959"/>
    <n v="488"/>
    <n v="28"/>
    <d v="2025-08-29T00:00:00"/>
    <n v="2.92E-2"/>
    <n v="0.64810965802918885"/>
    <n v="783.96428571428567"/>
  </r>
  <r>
    <n v="101309"/>
    <x v="3"/>
    <x v="3"/>
    <x v="1"/>
    <x v="1309"/>
    <n v="66127"/>
    <n v="62216"/>
    <n v="2159"/>
    <n v="15"/>
    <d v="2025-08-17T00:00:00"/>
    <n v="1.0629"/>
    <n v="34.701684454159697"/>
    <n v="4408.4666666666662"/>
  </r>
  <r>
    <n v="101310"/>
    <x v="2"/>
    <x v="0"/>
    <x v="2"/>
    <x v="1310"/>
    <n v="8618"/>
    <n v="781710"/>
    <n v="3499"/>
    <n v="28"/>
    <d v="2025-08-31T00:00:00"/>
    <n v="1.0999999999999999E-2"/>
    <n v="4.4760844814573177"/>
    <n v="307.78571428571428"/>
  </r>
  <r>
    <n v="101311"/>
    <x v="3"/>
    <x v="2"/>
    <x v="3"/>
    <x v="1311"/>
    <n v="55148"/>
    <n v="595353"/>
    <n v="2939"/>
    <n v="3"/>
    <d v="2025-08-07T00:00:00"/>
    <n v="9.2600000000000002E-2"/>
    <n v="4.9365670450976138"/>
    <n v="18382.666666666668"/>
  </r>
  <r>
    <n v="101312"/>
    <x v="1"/>
    <x v="2"/>
    <x v="4"/>
    <x v="1312"/>
    <n v="23124"/>
    <n v="911641"/>
    <n v="2990"/>
    <n v="11"/>
    <d v="2025-08-16T00:00:00"/>
    <n v="2.5399999999999999E-2"/>
    <n v="3.2797998334870853"/>
    <n v="2102.181818181818"/>
  </r>
  <r>
    <n v="101313"/>
    <x v="2"/>
    <x v="5"/>
    <x v="4"/>
    <x v="1313"/>
    <n v="37546"/>
    <n v="666884"/>
    <n v="1512"/>
    <n v="6"/>
    <d v="2025-08-12T00:00:00"/>
    <n v="5.6300000000000003E-2"/>
    <n v="2.2672608729554162"/>
    <n v="6257.666666666667"/>
  </r>
  <r>
    <n v="101314"/>
    <x v="2"/>
    <x v="4"/>
    <x v="1"/>
    <x v="1314"/>
    <n v="67889"/>
    <n v="325626"/>
    <n v="1571"/>
    <n v="2"/>
    <d v="2025-08-09T00:00:00"/>
    <n v="0.20849999999999999"/>
    <n v="4.8245533219091836"/>
    <n v="33944.5"/>
  </r>
  <r>
    <n v="101315"/>
    <x v="1"/>
    <x v="4"/>
    <x v="1"/>
    <x v="1315"/>
    <n v="54079"/>
    <n v="928905"/>
    <n v="4457"/>
    <n v="8"/>
    <d v="2025-08-16T00:00:00"/>
    <n v="5.8200000000000002E-2"/>
    <n v="4.798122520602214"/>
    <n v="6759.875"/>
  </r>
  <r>
    <n v="101316"/>
    <x v="1"/>
    <x v="5"/>
    <x v="2"/>
    <x v="1316"/>
    <n v="3737"/>
    <n v="625752"/>
    <n v="1383"/>
    <n v="23"/>
    <d v="2025-09-01T00:00:00"/>
    <n v="6.0000000000000001E-3"/>
    <n v="2.2101407586392057"/>
    <n v="162.47826086956522"/>
  </r>
  <r>
    <n v="101317"/>
    <x v="2"/>
    <x v="4"/>
    <x v="4"/>
    <x v="1317"/>
    <n v="27808"/>
    <n v="120981"/>
    <n v="2196"/>
    <n v="16"/>
    <d v="2025-08-26T00:00:00"/>
    <n v="0.22989999999999999"/>
    <n v="18.15161058348005"/>
    <n v="1738"/>
  </r>
  <r>
    <n v="101318"/>
    <x v="0"/>
    <x v="6"/>
    <x v="3"/>
    <x v="1318"/>
    <n v="66808"/>
    <n v="299074"/>
    <n v="1220"/>
    <n v="7"/>
    <d v="2025-08-18T00:00:00"/>
    <n v="0.22339999999999999"/>
    <n v="4.0792579762868053"/>
    <n v="9544"/>
  </r>
  <r>
    <n v="101319"/>
    <x v="0"/>
    <x v="0"/>
    <x v="0"/>
    <x v="1319"/>
    <n v="90432"/>
    <n v="484906"/>
    <n v="3829"/>
    <n v="29"/>
    <d v="2025-09-10T00:00:00"/>
    <n v="0.1865"/>
    <n v="7.8963757924216234"/>
    <n v="3118.344827586207"/>
  </r>
  <r>
    <n v="101320"/>
    <x v="1"/>
    <x v="6"/>
    <x v="4"/>
    <x v="1320"/>
    <n v="91270"/>
    <n v="83657"/>
    <n v="3256"/>
    <n v="8"/>
    <d v="2025-08-21T00:00:00"/>
    <n v="1.091"/>
    <n v="38.920831490490933"/>
    <n v="11408.75"/>
  </r>
  <r>
    <n v="101321"/>
    <x v="1"/>
    <x v="0"/>
    <x v="3"/>
    <x v="1321"/>
    <n v="84198"/>
    <n v="165652"/>
    <n v="633"/>
    <n v="16"/>
    <d v="2025-08-30T00:00:00"/>
    <n v="0.50829999999999997"/>
    <n v="3.8212638543452537"/>
    <n v="5262.375"/>
  </r>
  <r>
    <n v="101322"/>
    <x v="2"/>
    <x v="1"/>
    <x v="1"/>
    <x v="1322"/>
    <n v="37555"/>
    <n v="221008"/>
    <n v="2919"/>
    <n v="26"/>
    <d v="2025-09-10T00:00:00"/>
    <n v="0.1699"/>
    <n v="13.207666690798522"/>
    <n v="1444.4230769230769"/>
  </r>
  <r>
    <n v="101323"/>
    <x v="0"/>
    <x v="0"/>
    <x v="0"/>
    <x v="1323"/>
    <n v="28956"/>
    <n v="497275"/>
    <n v="1761"/>
    <n v="1"/>
    <d v="2025-08-17T00:00:00"/>
    <n v="5.8200000000000002E-2"/>
    <n v="3.5413000854657883"/>
    <n v="28956"/>
  </r>
  <r>
    <n v="101324"/>
    <x v="2"/>
    <x v="2"/>
    <x v="0"/>
    <x v="1324"/>
    <n v="54315"/>
    <n v="377544"/>
    <n v="2147"/>
    <n v="19"/>
    <d v="2025-09-05T00:00:00"/>
    <n v="0.1439"/>
    <n v="5.6867543915411183"/>
    <n v="2858.6842105263158"/>
  </r>
  <r>
    <n v="101325"/>
    <x v="0"/>
    <x v="0"/>
    <x v="2"/>
    <x v="1325"/>
    <n v="19830"/>
    <n v="915498"/>
    <n v="2489"/>
    <n v="20"/>
    <d v="2025-09-07T00:00:00"/>
    <n v="2.1700000000000001E-2"/>
    <n v="2.7187388721766732"/>
    <n v="991.5"/>
  </r>
  <r>
    <n v="101326"/>
    <x v="2"/>
    <x v="4"/>
    <x v="2"/>
    <x v="1326"/>
    <n v="97320"/>
    <n v="886719"/>
    <n v="3851"/>
    <n v="27"/>
    <d v="2025-09-15T00:00:00"/>
    <n v="0.10979999999999999"/>
    <n v="4.3429767491166871"/>
    <n v="3604.4444444444443"/>
  </r>
  <r>
    <n v="101327"/>
    <x v="1"/>
    <x v="3"/>
    <x v="1"/>
    <x v="1327"/>
    <n v="17326"/>
    <n v="910324"/>
    <n v="1023"/>
    <n v="18"/>
    <d v="2025-09-07T00:00:00"/>
    <n v="1.9E-2"/>
    <n v="1.1237757106261068"/>
    <n v="962.55555555555554"/>
  </r>
  <r>
    <n v="101328"/>
    <x v="2"/>
    <x v="3"/>
    <x v="3"/>
    <x v="1328"/>
    <n v="17362"/>
    <n v="727947"/>
    <n v="1143"/>
    <n v="20"/>
    <d v="2025-09-10T00:00:00"/>
    <n v="2.3900000000000001E-2"/>
    <n v="1.5701692568277636"/>
    <n v="868.1"/>
  </r>
  <r>
    <n v="101329"/>
    <x v="2"/>
    <x v="0"/>
    <x v="3"/>
    <x v="1329"/>
    <n v="86977"/>
    <n v="434469"/>
    <n v="3798"/>
    <n v="21"/>
    <d v="2025-09-12T00:00:00"/>
    <n v="0.20019999999999999"/>
    <n v="8.7417053920993215"/>
    <n v="4141.7619047619046"/>
  </r>
  <r>
    <n v="101330"/>
    <x v="0"/>
    <x v="6"/>
    <x v="2"/>
    <x v="1330"/>
    <n v="24964"/>
    <n v="900211"/>
    <n v="619"/>
    <n v="28"/>
    <d v="2025-09-20T00:00:00"/>
    <n v="2.7699999999999999E-2"/>
    <n v="0.6876165698930583"/>
    <n v="891.57142857142856"/>
  </r>
  <r>
    <n v="101331"/>
    <x v="1"/>
    <x v="2"/>
    <x v="1"/>
    <x v="1331"/>
    <n v="3611"/>
    <n v="748405"/>
    <n v="1649"/>
    <n v="8"/>
    <d v="2025-09-01T00:00:00"/>
    <n v="4.7999999999999996E-3"/>
    <n v="2.2033524629044434"/>
    <n v="451.375"/>
  </r>
  <r>
    <n v="101332"/>
    <x v="1"/>
    <x v="2"/>
    <x v="0"/>
    <x v="1332"/>
    <n v="72293"/>
    <n v="353912"/>
    <n v="4586"/>
    <n v="15"/>
    <d v="2025-09-09T00:00:00"/>
    <n v="0.20430000000000001"/>
    <n v="12.958023463459842"/>
    <n v="4819.5333333333338"/>
  </r>
  <r>
    <n v="101333"/>
    <x v="3"/>
    <x v="3"/>
    <x v="4"/>
    <x v="1333"/>
    <n v="79105"/>
    <n v="308261"/>
    <n v="2452"/>
    <n v="19"/>
    <d v="2025-09-14T00:00:00"/>
    <n v="0.25659999999999999"/>
    <n v="7.9542984678567832"/>
    <n v="4163.4210526315792"/>
  </r>
  <r>
    <n v="101334"/>
    <x v="3"/>
    <x v="4"/>
    <x v="3"/>
    <x v="1334"/>
    <n v="23008"/>
    <n v="294990"/>
    <n v="3249"/>
    <n v="3"/>
    <d v="2025-08-30T00:00:00"/>
    <n v="7.8E-2"/>
    <n v="11.01393267568392"/>
    <n v="7669.333333333333"/>
  </r>
  <r>
    <n v="101335"/>
    <x v="0"/>
    <x v="4"/>
    <x v="4"/>
    <x v="1335"/>
    <n v="33481"/>
    <n v="250162"/>
    <n v="3089"/>
    <n v="23"/>
    <d v="2025-09-20T00:00:00"/>
    <n v="0.1338"/>
    <n v="12.347998496973961"/>
    <n v="1455.6956521739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2FC203-05D3-4AEC-8ABB-02CA4EFC06D1}"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41:T42" firstHeaderRow="1" firstDataRow="1" firstDataCol="0"/>
  <pivotFields count="16">
    <pivotField showAll="0"/>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numFmtId="6" showAll="0"/>
    <pivotField showAll="0"/>
    <pivotField showAll="0"/>
    <pivotField dataField="1" numFmtId="10" showAll="0"/>
    <pivotField numFmtId="164"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Engagement Rate" fld="1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6BA1D8-8526-451F-9B10-43F42AE3BC2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35:T36" firstHeaderRow="1" firstDataRow="1" firstDataCol="0"/>
  <pivotFields count="16">
    <pivotField showAll="0"/>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dataField="1" numFmtId="6" showAll="0"/>
    <pivotField showAll="0"/>
    <pivotField showAll="0"/>
    <pivotField numFmtId="10" showAll="0"/>
    <pivotField numFmtId="164"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duct Sales" fld="7"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238554-F3E9-4E26-AB27-C4D6D7E83F84}"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L4:M9" firstHeaderRow="1" firstDataRow="1" firstDataCol="1"/>
  <pivotFields count="16">
    <pivotField dataField="1" showAll="0"/>
    <pivotField axis="axisRow"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numFmtId="6" showAll="0"/>
    <pivotField showAll="0"/>
    <pivotField showAll="0"/>
    <pivotField numFmtId="10" showAll="0"/>
    <pivotField numFmtId="164" showAll="0"/>
    <pivotField showAll="0"/>
    <pivotField showAll="0"/>
    <pivotField showAll="0"/>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Count of Campaign Id" fld="0" subtotal="count" baseField="1"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0AEB60-B6EA-40E5-865F-9C2F3007F9E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P17:Q30" firstHeaderRow="1" firstDataRow="1" firstDataCol="1"/>
  <pivotFields count="16">
    <pivotField showAll="0"/>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dataField="1" numFmtId="6" showAll="0"/>
    <pivotField showAll="0"/>
    <pivotField showAll="0"/>
    <pivotField numFmtId="10" showAll="0"/>
    <pivotField numFmtId="164" showAll="0"/>
    <pivotField showAll="0"/>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3"/>
  </rowFields>
  <rowItems count="13">
    <i>
      <x v="7"/>
    </i>
    <i>
      <x v="8"/>
    </i>
    <i>
      <x v="3"/>
    </i>
    <i>
      <x v="5"/>
    </i>
    <i>
      <x v="2"/>
    </i>
    <i>
      <x v="6"/>
    </i>
    <i>
      <x v="1"/>
    </i>
    <i>
      <x v="4"/>
    </i>
    <i>
      <x v="12"/>
    </i>
    <i>
      <x v="9"/>
    </i>
    <i>
      <x v="11"/>
    </i>
    <i>
      <x v="10"/>
    </i>
    <i t="grand">
      <x/>
    </i>
  </rowItems>
  <colItems count="1">
    <i/>
  </colItems>
  <dataFields count="1">
    <dataField name="Sum of Product Sales" fld="7" baseField="13" baseItem="9" numFmtId="6"/>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B92CD-6C7D-4708-BB19-FB2B331BA89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I4:J47" firstHeaderRow="1" firstDataRow="1" firstDataCol="1"/>
  <pivotFields count="16">
    <pivotField showAll="0"/>
    <pivotField showAll="0">
      <items count="5">
        <item x="2"/>
        <item x="0"/>
        <item x="3"/>
        <item x="1"/>
        <item t="default"/>
      </items>
    </pivotField>
    <pivotField axis="axisRow" showAll="0">
      <items count="8">
        <item x="3"/>
        <item x="6"/>
        <item x="0"/>
        <item x="1"/>
        <item x="5"/>
        <item x="4"/>
        <item x="2"/>
        <item t="default"/>
      </items>
    </pivotField>
    <pivotField axis="axisRow" dataField="1" showAll="0" sortType="descending">
      <items count="6">
        <item x="2"/>
        <item x="4"/>
        <item x="0"/>
        <item x="1"/>
        <item x="3"/>
        <item t="default"/>
      </items>
      <autoSortScope>
        <pivotArea dataOnly="0" outline="0" fieldPosition="0">
          <references count="1">
            <reference field="4294967294" count="1" selected="0">
              <x v="0"/>
            </reference>
          </references>
        </pivotArea>
      </autoSortScope>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numFmtId="6" showAll="0"/>
    <pivotField showAll="0"/>
    <pivotField showAll="0"/>
    <pivotField numFmtId="10" showAll="0"/>
    <pivotField numFmtId="164" showAll="0"/>
    <pivotField showAll="0"/>
    <pivotField showAll="0"/>
    <pivotField showAll="0"/>
    <pivotField showAll="0">
      <items count="7">
        <item x="0"/>
        <item x="1"/>
        <item x="2"/>
        <item x="3"/>
        <item x="4"/>
        <item x="5"/>
        <item t="default"/>
      </items>
    </pivotField>
  </pivotFields>
  <rowFields count="2">
    <field x="2"/>
    <field x="3"/>
  </rowFields>
  <rowItems count="43">
    <i>
      <x/>
    </i>
    <i r="1">
      <x v="3"/>
    </i>
    <i r="1">
      <x v="2"/>
    </i>
    <i r="1">
      <x v="4"/>
    </i>
    <i r="1">
      <x v="1"/>
    </i>
    <i r="1">
      <x/>
    </i>
    <i>
      <x v="1"/>
    </i>
    <i r="1">
      <x v="4"/>
    </i>
    <i r="1">
      <x v="2"/>
    </i>
    <i r="1">
      <x/>
    </i>
    <i r="1">
      <x v="3"/>
    </i>
    <i r="1">
      <x v="1"/>
    </i>
    <i>
      <x v="2"/>
    </i>
    <i r="1">
      <x v="3"/>
    </i>
    <i r="1">
      <x v="4"/>
    </i>
    <i r="1">
      <x v="1"/>
    </i>
    <i r="1">
      <x v="2"/>
    </i>
    <i r="1">
      <x/>
    </i>
    <i>
      <x v="3"/>
    </i>
    <i r="1">
      <x v="3"/>
    </i>
    <i r="1">
      <x v="1"/>
    </i>
    <i r="1">
      <x/>
    </i>
    <i r="1">
      <x v="2"/>
    </i>
    <i r="1">
      <x v="4"/>
    </i>
    <i>
      <x v="4"/>
    </i>
    <i r="1">
      <x/>
    </i>
    <i r="1">
      <x v="3"/>
    </i>
    <i r="1">
      <x v="1"/>
    </i>
    <i r="1">
      <x v="4"/>
    </i>
    <i r="1">
      <x v="2"/>
    </i>
    <i>
      <x v="5"/>
    </i>
    <i r="1">
      <x/>
    </i>
    <i r="1">
      <x v="2"/>
    </i>
    <i r="1">
      <x v="4"/>
    </i>
    <i r="1">
      <x v="1"/>
    </i>
    <i r="1">
      <x v="3"/>
    </i>
    <i>
      <x v="6"/>
    </i>
    <i r="1">
      <x/>
    </i>
    <i r="1">
      <x v="1"/>
    </i>
    <i r="1">
      <x v="2"/>
    </i>
    <i r="1">
      <x v="3"/>
    </i>
    <i r="1">
      <x v="4"/>
    </i>
    <i t="grand">
      <x/>
    </i>
  </rowItems>
  <colItems count="1">
    <i/>
  </colItems>
  <dataFields count="1">
    <dataField name="Count of Campaign Type" fld="3"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1F50B6-464F-46A4-82C6-B4690E2C73B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L14:M34" firstHeaderRow="1" firstDataRow="1" firstDataCol="1"/>
  <pivotFields count="16">
    <pivotField showAll="0"/>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dataField="1" numFmtId="6" showAll="0"/>
    <pivotField showAll="0"/>
    <pivotField showAll="0"/>
    <pivotField numFmtId="10"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7">
        <item sd="0" x="0"/>
        <item x="1"/>
        <item x="2"/>
        <item x="3"/>
        <item x="4"/>
        <item sd="0" x="5"/>
        <item t="default"/>
      </items>
    </pivotField>
  </pivotFields>
  <rowFields count="2">
    <field x="15"/>
    <field x="14"/>
  </rowFields>
  <rowItems count="20">
    <i>
      <x v="1"/>
    </i>
    <i r="1">
      <x v="1"/>
    </i>
    <i r="1">
      <x v="2"/>
    </i>
    <i r="1">
      <x v="3"/>
    </i>
    <i r="1">
      <x v="4"/>
    </i>
    <i>
      <x v="2"/>
    </i>
    <i r="1">
      <x v="1"/>
    </i>
    <i r="1">
      <x v="2"/>
    </i>
    <i r="1">
      <x v="3"/>
    </i>
    <i r="1">
      <x v="4"/>
    </i>
    <i>
      <x v="3"/>
    </i>
    <i r="1">
      <x v="1"/>
    </i>
    <i r="1">
      <x v="2"/>
    </i>
    <i r="1">
      <x v="3"/>
    </i>
    <i r="1">
      <x v="4"/>
    </i>
    <i>
      <x v="4"/>
    </i>
    <i r="1">
      <x v="1"/>
    </i>
    <i r="1">
      <x v="2"/>
    </i>
    <i r="1">
      <x v="3"/>
    </i>
    <i t="grand">
      <x/>
    </i>
  </rowItems>
  <colItems count="1">
    <i/>
  </colItems>
  <dataFields count="1">
    <dataField name="Sum of Product Sales" fld="7" baseField="0" baseItem="0" numFmtId="6"/>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4655AC-2C6F-4A1E-848D-A4263A486FB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P4:R12" firstHeaderRow="0" firstDataRow="1" firstDataCol="1"/>
  <pivotFields count="16">
    <pivotField showAll="0"/>
    <pivotField showAll="0">
      <items count="5">
        <item x="2"/>
        <item x="0"/>
        <item x="3"/>
        <item x="1"/>
        <item t="default"/>
      </items>
    </pivotField>
    <pivotField axis="axisRow"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numFmtId="6" showAll="0"/>
    <pivotField showAll="0"/>
    <pivotField showAll="0"/>
    <pivotField numFmtId="10" showAll="0"/>
    <pivotField dataField="1" numFmtId="164" showAll="0"/>
    <pivotField dataField="1" showAll="0"/>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Fields count="1">
    <field x="-2"/>
  </colFields>
  <colItems count="2">
    <i>
      <x/>
    </i>
    <i i="1">
      <x v="1"/>
    </i>
  </colItems>
  <dataFields count="2">
    <dataField name="Average of Sales Per 1000 Reach" fld="11" subtotal="average" baseField="2" baseItem="0" numFmtId="8"/>
    <dataField name="Average of Engagement  Per  Day" fld="12" subtotal="average" baseField="2" baseItem="0"/>
  </dataFields>
  <formats count="3">
    <format dxfId="41">
      <pivotArea collapsedLevelsAreSubtotals="1" fieldPosition="0">
        <references count="2">
          <reference field="4294967294" count="1" selected="0">
            <x v="1"/>
          </reference>
          <reference field="2" count="0"/>
        </references>
      </pivotArea>
    </format>
    <format dxfId="40">
      <pivotArea field="2" grandRow="1" outline="0" collapsedLevelsAreSubtotals="1" axis="axisRow" fieldPosition="0">
        <references count="1">
          <reference field="4294967294" count="1" selected="0">
            <x v="1"/>
          </reference>
        </references>
      </pivotArea>
    </format>
    <format dxfId="39">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B54080-EE59-4095-987F-B0FF4442E3BA}"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T38:T39" firstHeaderRow="1" firstDataRow="1" firstDataCol="0"/>
  <pivotFields count="16">
    <pivotField dataField="1" showAll="0"/>
    <pivotField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numFmtId="6" showAll="0"/>
    <pivotField showAll="0"/>
    <pivotField showAll="0"/>
    <pivotField numFmtId="10" showAll="0"/>
    <pivotField numFmtId="164"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Campaig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FDFB5E-F78C-4C8E-BC8D-614966665B7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P35:Q43" firstHeaderRow="1" firstDataRow="1" firstDataCol="1"/>
  <pivotFields count="16">
    <pivotField showAll="0"/>
    <pivotField showAll="0">
      <items count="5">
        <item x="2"/>
        <item x="0"/>
        <item x="3"/>
        <item x="1"/>
        <item t="default"/>
      </items>
    </pivotField>
    <pivotField axis="axisRow" dataField="1" showAll="0" sortType="descending">
      <items count="8">
        <item x="3"/>
        <item x="6"/>
        <item x="0"/>
        <item x="1"/>
        <item x="5"/>
        <item x="4"/>
        <item x="2"/>
        <item t="default"/>
      </items>
      <autoSortScope>
        <pivotArea dataOnly="0" outline="0" fieldPosition="0">
          <references count="1">
            <reference field="4294967294" count="1" selected="0">
              <x v="0"/>
            </reference>
          </references>
        </pivotArea>
      </autoSortScope>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numFmtId="6" showAll="0"/>
    <pivotField showAll="0"/>
    <pivotField showAll="0"/>
    <pivotField numFmtId="10" showAll="0"/>
    <pivotField numFmtId="164" showAll="0"/>
    <pivotField showAll="0"/>
    <pivotField showAll="0" defaultSubtotal="0"/>
    <pivotField showAll="0" defaultSubtotal="0"/>
    <pivotField showAll="0" defaultSubtotal="0">
      <items count="6">
        <item x="0"/>
        <item x="1"/>
        <item x="2"/>
        <item x="3"/>
        <item x="4"/>
        <item x="5"/>
      </items>
    </pivotField>
  </pivotFields>
  <rowFields count="1">
    <field x="2"/>
  </rowFields>
  <rowItems count="8">
    <i>
      <x v="3"/>
    </i>
    <i>
      <x/>
    </i>
    <i>
      <x v="6"/>
    </i>
    <i>
      <x v="2"/>
    </i>
    <i>
      <x v="5"/>
    </i>
    <i>
      <x v="1"/>
    </i>
    <i>
      <x v="4"/>
    </i>
    <i t="grand">
      <x/>
    </i>
  </rowItems>
  <colItems count="1">
    <i/>
  </colItems>
  <dataFields count="1">
    <dataField name="Count of Influencer Category" fld="2" subtotal="count" baseField="0" baseItem="0"/>
  </dataField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6"/>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5"/>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6"/>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2D03D1-5D12-4C97-987A-08CFA9A41DD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T4:W9" firstHeaderRow="0" firstDataRow="1" firstDataCol="1"/>
  <pivotFields count="16">
    <pivotField showAll="0"/>
    <pivotField axis="axisRow" showAll="0">
      <items count="5">
        <item x="2"/>
        <item x="0"/>
        <item x="3"/>
        <item x="1"/>
        <item t="default"/>
      </items>
    </pivotField>
    <pivotField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dataField="1" numFmtId="1" showAll="0"/>
    <pivotField dataField="1" numFmtId="1" showAll="0"/>
    <pivotField numFmtId="6" showAll="0"/>
    <pivotField showAll="0"/>
    <pivotField showAll="0"/>
    <pivotField dataField="1" numFmtId="10" showAll="0"/>
    <pivotField numFmtId="164"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5">
    <i>
      <x/>
    </i>
    <i>
      <x v="1"/>
    </i>
    <i>
      <x v="2"/>
    </i>
    <i>
      <x v="3"/>
    </i>
    <i t="grand">
      <x/>
    </i>
  </rowItems>
  <colFields count="1">
    <field x="-2"/>
  </colFields>
  <colItems count="3">
    <i>
      <x/>
    </i>
    <i i="1">
      <x v="1"/>
    </i>
    <i i="2">
      <x v="2"/>
    </i>
  </colItems>
  <dataFields count="3">
    <dataField name="Average of Estimated Reach" fld="6" subtotal="average" baseField="1" baseItem="0" numFmtId="1"/>
    <dataField name="Average of Engagements" fld="5" subtotal="average" baseField="1" baseItem="0" numFmtId="1"/>
    <dataField name="Average of Engagement Rate" fld="10" subtotal="average" baseField="1" baseItem="0" numFmtId="1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627734-BEBA-4B78-BA56-4D6A23506EE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A4:C40" firstHeaderRow="0" firstDataRow="1" firstDataCol="1"/>
  <pivotFields count="16">
    <pivotField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axis="axisRow" showAll="0">
      <items count="8">
        <item x="3"/>
        <item x="6"/>
        <item x="0"/>
        <item x="1"/>
        <item x="5"/>
        <item x="4"/>
        <item x="2"/>
        <item t="default"/>
      </items>
    </pivotField>
    <pivotField showAll="0">
      <items count="6">
        <item x="2"/>
        <item x="4"/>
        <item x="0"/>
        <item x="1"/>
        <item x="3"/>
        <item t="default"/>
      </items>
    </pivotField>
    <pivotField numFmtId="14" showAll="0">
      <items count="1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t="default"/>
      </items>
    </pivotField>
    <pivotField numFmtId="1" showAll="0"/>
    <pivotField numFmtId="1" showAll="0"/>
    <pivotField dataField="1" numFmtId="6" showAll="0"/>
    <pivotField showAll="0"/>
    <pivotField showAll="0"/>
    <pivotField dataField="1" numFmtId="10" showAll="0"/>
    <pivotField numFmtId="164" showAll="0"/>
    <pivotField showAll="0"/>
    <pivotField showAll="0"/>
    <pivotField showAll="0"/>
    <pivotField showAll="0">
      <items count="7">
        <item x="0"/>
        <item x="1"/>
        <item x="2"/>
        <item x="3"/>
        <item x="4"/>
        <item x="5"/>
        <item t="default"/>
      </items>
    </pivotField>
  </pivotFields>
  <rowFields count="2">
    <field x="2"/>
    <field x="1"/>
  </rowFields>
  <rowItems count="36">
    <i>
      <x/>
    </i>
    <i r="1">
      <x v="3"/>
    </i>
    <i r="1">
      <x/>
    </i>
    <i r="1">
      <x v="1"/>
    </i>
    <i r="1">
      <x v="2"/>
    </i>
    <i>
      <x v="1"/>
    </i>
    <i r="1">
      <x/>
    </i>
    <i r="1">
      <x v="3"/>
    </i>
    <i r="1">
      <x v="1"/>
    </i>
    <i r="1">
      <x v="2"/>
    </i>
    <i>
      <x v="2"/>
    </i>
    <i r="1">
      <x/>
    </i>
    <i r="1">
      <x v="3"/>
    </i>
    <i r="1">
      <x v="1"/>
    </i>
    <i r="1">
      <x v="2"/>
    </i>
    <i>
      <x v="3"/>
    </i>
    <i r="1">
      <x/>
    </i>
    <i r="1">
      <x v="3"/>
    </i>
    <i r="1">
      <x v="1"/>
    </i>
    <i r="1">
      <x v="2"/>
    </i>
    <i>
      <x v="4"/>
    </i>
    <i r="1">
      <x/>
    </i>
    <i r="1">
      <x v="3"/>
    </i>
    <i r="1">
      <x v="1"/>
    </i>
    <i r="1">
      <x v="2"/>
    </i>
    <i>
      <x v="5"/>
    </i>
    <i r="1">
      <x/>
    </i>
    <i r="1">
      <x v="3"/>
    </i>
    <i r="1">
      <x v="1"/>
    </i>
    <i r="1">
      <x v="2"/>
    </i>
    <i>
      <x v="6"/>
    </i>
    <i r="1">
      <x/>
    </i>
    <i r="1">
      <x v="3"/>
    </i>
    <i r="1">
      <x v="1"/>
    </i>
    <i r="1">
      <x v="2"/>
    </i>
    <i t="grand">
      <x/>
    </i>
  </rowItems>
  <colFields count="1">
    <field x="-2"/>
  </colFields>
  <colItems count="2">
    <i>
      <x/>
    </i>
    <i i="1">
      <x v="1"/>
    </i>
  </colItems>
  <dataFields count="2">
    <dataField name="Sum of Product Sales" fld="7" baseField="2" baseItem="0" numFmtId="6"/>
    <dataField name="Average of Engagement Rate" fld="10" subtotal="average" baseField="2" baseItem="0" numFmtId="10"/>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3E4F6A5-14C4-4BCB-A1CB-A30451B42411}" sourceName="Platform">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119156111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fluencer_Category" xr10:uid="{636EE86D-7064-4DEC-B462-05AECA7822F0}" sourceName="Influencer Category">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1191561111">
      <items count="7">
        <i x="3" s="1"/>
        <i x="6" s="1"/>
        <i x="0" s="1"/>
        <i x="1"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5C208A74-0F25-47D0-97B0-5FEA5A5251E6}" sourceName="Campaign Typ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2"/>
  </pivotTables>
  <data>
    <tabular pivotCacheId="1191561111">
      <items count="5">
        <i x="2" s="1"/>
        <i x="4"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CA2283E1-07FF-4AF1-B3D8-BFD735A0D1F5}" cache="Slicer_Platform" caption="Platform" rowHeight="247650"/>
  <slicer name="Influencer Category" xr10:uid="{CDFED6D0-32A0-40F5-B6CC-E0373D95FC9E}" cache="Slicer_Influencer_Category" caption="Influencer Category" rowHeight="247650"/>
  <slicer name="Campaign Type" xr10:uid="{FAE09D25-04E3-4472-B34E-D9178B97AA2E}" cache="Slicer_Campaign_Type" caption="Campaign Type" startItem="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35353C88-6856-48F8-8DE3-E30BC1B05828}" cache="Slicer_Platform" caption="Platform" rowHeight="247650"/>
  <slicer name="Influencer Category 1" xr10:uid="{B3BF03E9-E421-49FC-ABEE-0C64790952AA}" cache="Slicer_Influencer_Category" caption="Influencer Category" rowHeight="247650"/>
  <slicer name="Campaign Type 1" xr10:uid="{E1E3C43F-3F3E-4C98-8D52-DA48ECB069FA}" cache="Slicer_Campaign_Type" caption="Campaign Typ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41A13BB0-3D4D-4F17-820C-FD3540982846}" sourceName="Start Dat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state minimalRefreshVersion="6" lastRefreshVersion="6" pivotCacheId="1191561111"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xr10:uid="{AFF29303-32A0-4954-AA54-F7237605656A}" cache="NativeTimeline_Start_Date" caption="Start Date" level="2" selectionLevel="2"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1" xr10:uid="{500B5359-9314-4ABD-B08F-41051A05B1FF}" cache="NativeTimeline_Start_Date" caption="Start Date" level="2" selectionLevel="2" scrollPosition="2023-12-20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74358-B6CE-48DE-9468-7251B90F3A47}">
  <sheetPr>
    <tabColor rgb="FFFFC000"/>
  </sheetPr>
  <dimension ref="A1:M1337"/>
  <sheetViews>
    <sheetView workbookViewId="0">
      <pane ySplit="1" topLeftCell="A2" activePane="bottomLeft" state="frozen"/>
      <selection pane="bottomLeft" activeCell="I1342" sqref="I1342"/>
    </sheetView>
  </sheetViews>
  <sheetFormatPr defaultRowHeight="14.4" x14ac:dyDescent="0.3"/>
  <cols>
    <col min="1" max="1" width="13.109375" bestFit="1" customWidth="1"/>
    <col min="2" max="2" width="10.109375" bestFit="1" customWidth="1"/>
    <col min="3" max="3" width="18.88671875" bestFit="1" customWidth="1"/>
    <col min="4" max="4" width="15.44140625" bestFit="1" customWidth="1"/>
    <col min="5" max="5" width="11.109375" bestFit="1" customWidth="1"/>
    <col min="6" max="6" width="14" style="4" bestFit="1" customWidth="1"/>
    <col min="7" max="7" width="16.77734375" style="4" bestFit="1" customWidth="1"/>
    <col min="8" max="8" width="14.21875" bestFit="1" customWidth="1"/>
    <col min="9" max="9" width="23" style="16" bestFit="1" customWidth="1"/>
    <col min="10" max="10" width="10.33203125" bestFit="1" customWidth="1"/>
    <col min="11" max="11" width="17.21875" bestFit="1" customWidth="1"/>
    <col min="12" max="12" width="19.21875" customWidth="1"/>
    <col min="13" max="13" width="17.88671875" style="17" customWidth="1"/>
  </cols>
  <sheetData>
    <row r="1" spans="1:13" x14ac:dyDescent="0.3">
      <c r="A1" s="5" t="s">
        <v>26</v>
      </c>
      <c r="B1" s="5" t="s">
        <v>0</v>
      </c>
      <c r="C1" s="5" t="s">
        <v>1</v>
      </c>
      <c r="D1" s="5" t="s">
        <v>2</v>
      </c>
      <c r="E1" s="5" t="s">
        <v>3</v>
      </c>
      <c r="F1" s="5" t="s">
        <v>4</v>
      </c>
      <c r="G1" s="5" t="s">
        <v>5</v>
      </c>
      <c r="H1" s="5" t="s">
        <v>6</v>
      </c>
      <c r="I1" s="5" t="s">
        <v>7</v>
      </c>
      <c r="J1" s="5" t="s">
        <v>8</v>
      </c>
      <c r="K1" s="5" t="s">
        <v>9</v>
      </c>
      <c r="L1" s="5" t="s">
        <v>34</v>
      </c>
      <c r="M1" s="5" t="s">
        <v>35</v>
      </c>
    </row>
    <row r="2" spans="1:13" x14ac:dyDescent="0.3">
      <c r="A2">
        <v>100000</v>
      </c>
      <c r="B2" t="s">
        <v>10</v>
      </c>
      <c r="C2" t="s">
        <v>11</v>
      </c>
      <c r="D2" t="s">
        <v>12</v>
      </c>
      <c r="E2" s="1">
        <v>44562</v>
      </c>
      <c r="F2" s="4">
        <v>79900</v>
      </c>
      <c r="G2" s="4">
        <v>1892</v>
      </c>
      <c r="H2" s="2">
        <v>2834</v>
      </c>
      <c r="I2" s="16">
        <v>14</v>
      </c>
      <c r="J2" s="1">
        <v>44576</v>
      </c>
      <c r="K2" s="3">
        <v>42.230400000000003</v>
      </c>
      <c r="L2" s="13">
        <f t="shared" ref="L2:L65" si="0">H2/G2*1000</f>
        <v>1497.8858350951375</v>
      </c>
      <c r="M2" s="16">
        <f t="shared" ref="M2:M65" si="1">IFERROR(F2/I2,"No Data")</f>
        <v>5707.1428571428569</v>
      </c>
    </row>
    <row r="3" spans="1:13" x14ac:dyDescent="0.3">
      <c r="A3">
        <v>100001</v>
      </c>
      <c r="B3" t="s">
        <v>13</v>
      </c>
      <c r="C3" t="s">
        <v>14</v>
      </c>
      <c r="D3" t="s">
        <v>15</v>
      </c>
      <c r="E3" s="1">
        <v>44563</v>
      </c>
      <c r="F3" s="4">
        <v>47985</v>
      </c>
      <c r="G3" s="4">
        <v>437228</v>
      </c>
      <c r="H3" s="2">
        <v>165</v>
      </c>
      <c r="I3" s="16">
        <v>13</v>
      </c>
      <c r="J3" s="1">
        <v>44576</v>
      </c>
      <c r="K3" s="3">
        <v>0.10970000000000001</v>
      </c>
      <c r="L3" s="13">
        <f t="shared" si="0"/>
        <v>0.37737747811210626</v>
      </c>
      <c r="M3" s="16">
        <f t="shared" si="1"/>
        <v>3691.1538461538462</v>
      </c>
    </row>
    <row r="4" spans="1:13" x14ac:dyDescent="0.3">
      <c r="A4">
        <v>100002</v>
      </c>
      <c r="B4" t="s">
        <v>10</v>
      </c>
      <c r="C4" t="s">
        <v>16</v>
      </c>
      <c r="D4" t="s">
        <v>17</v>
      </c>
      <c r="E4" s="1">
        <v>44564</v>
      </c>
      <c r="F4" s="4">
        <v>13875</v>
      </c>
      <c r="G4" s="4">
        <v>982513</v>
      </c>
      <c r="H4" s="2">
        <v>2539</v>
      </c>
      <c r="I4" s="16">
        <v>5</v>
      </c>
      <c r="J4" s="1">
        <v>44569</v>
      </c>
      <c r="K4" s="3">
        <v>1.41E-2</v>
      </c>
      <c r="L4" s="13">
        <f t="shared" si="0"/>
        <v>2.5841897257339088</v>
      </c>
      <c r="M4" s="16">
        <f t="shared" si="1"/>
        <v>2775</v>
      </c>
    </row>
    <row r="5" spans="1:13" x14ac:dyDescent="0.3">
      <c r="A5">
        <v>100003</v>
      </c>
      <c r="B5" t="s">
        <v>13</v>
      </c>
      <c r="C5" t="s">
        <v>14</v>
      </c>
      <c r="D5" t="s">
        <v>17</v>
      </c>
      <c r="E5" s="1">
        <v>44565</v>
      </c>
      <c r="F5" s="4">
        <v>41200</v>
      </c>
      <c r="G5" s="4">
        <v>213400</v>
      </c>
      <c r="H5" s="2">
        <v>100</v>
      </c>
      <c r="I5" s="16">
        <v>20</v>
      </c>
      <c r="J5" s="1">
        <v>44585</v>
      </c>
      <c r="K5" s="3">
        <v>0.19309999999999999</v>
      </c>
      <c r="L5" s="13">
        <f t="shared" si="0"/>
        <v>0.46860356138706655</v>
      </c>
      <c r="M5" s="16">
        <f t="shared" si="1"/>
        <v>2060</v>
      </c>
    </row>
    <row r="6" spans="1:13" x14ac:dyDescent="0.3">
      <c r="A6">
        <v>100004</v>
      </c>
      <c r="B6" t="s">
        <v>18</v>
      </c>
      <c r="C6" t="s">
        <v>14</v>
      </c>
      <c r="D6" t="s">
        <v>12</v>
      </c>
      <c r="E6" s="1">
        <v>44566</v>
      </c>
      <c r="F6" s="4">
        <v>96998</v>
      </c>
      <c r="G6" s="4">
        <v>42501</v>
      </c>
      <c r="H6" s="2">
        <v>550</v>
      </c>
      <c r="I6" s="16">
        <v>28</v>
      </c>
      <c r="J6" s="1">
        <v>44594</v>
      </c>
      <c r="K6" s="3">
        <v>2.2823000000000002</v>
      </c>
      <c r="L6" s="13">
        <f t="shared" si="0"/>
        <v>12.940871979482836</v>
      </c>
      <c r="M6" s="16">
        <f t="shared" si="1"/>
        <v>3464.2142857142858</v>
      </c>
    </row>
    <row r="7" spans="1:13" x14ac:dyDescent="0.3">
      <c r="A7">
        <v>100005</v>
      </c>
      <c r="B7" t="s">
        <v>19</v>
      </c>
      <c r="C7" t="s">
        <v>20</v>
      </c>
      <c r="D7" t="s">
        <v>17</v>
      </c>
      <c r="E7" s="1">
        <v>44567</v>
      </c>
      <c r="F7" s="4">
        <v>76687</v>
      </c>
      <c r="G7" s="4">
        <v>443289</v>
      </c>
      <c r="H7" s="2">
        <v>2338</v>
      </c>
      <c r="I7" s="16">
        <v>27</v>
      </c>
      <c r="J7" s="1">
        <v>44594</v>
      </c>
      <c r="K7" s="3">
        <v>0.17299999999999999</v>
      </c>
      <c r="L7" s="13">
        <f t="shared" si="0"/>
        <v>5.2742116316894849</v>
      </c>
      <c r="M7" s="16">
        <f t="shared" si="1"/>
        <v>2840.2592592592591</v>
      </c>
    </row>
    <row r="8" spans="1:13" x14ac:dyDescent="0.3">
      <c r="A8">
        <v>100006</v>
      </c>
      <c r="B8" t="s">
        <v>10</v>
      </c>
      <c r="C8" t="s">
        <v>21</v>
      </c>
      <c r="D8" t="s">
        <v>22</v>
      </c>
      <c r="E8" s="1">
        <v>44568</v>
      </c>
      <c r="F8" s="4">
        <v>8878</v>
      </c>
      <c r="G8" s="4">
        <v>116825</v>
      </c>
      <c r="H8" s="2">
        <v>1027</v>
      </c>
      <c r="I8" s="16">
        <v>17</v>
      </c>
      <c r="J8" s="1">
        <v>44585</v>
      </c>
      <c r="K8" s="3">
        <v>7.5999999999999998E-2</v>
      </c>
      <c r="L8" s="13">
        <f t="shared" si="0"/>
        <v>8.7909265996148083</v>
      </c>
      <c r="M8" s="16">
        <f t="shared" si="1"/>
        <v>522.23529411764707</v>
      </c>
    </row>
    <row r="9" spans="1:13" x14ac:dyDescent="0.3">
      <c r="A9">
        <v>100007</v>
      </c>
      <c r="B9" t="s">
        <v>10</v>
      </c>
      <c r="C9" t="s">
        <v>23</v>
      </c>
      <c r="D9" t="s">
        <v>17</v>
      </c>
      <c r="E9" s="1">
        <v>44569</v>
      </c>
      <c r="F9" s="4">
        <v>74092</v>
      </c>
      <c r="G9" s="4">
        <v>644094</v>
      </c>
      <c r="H9" s="2">
        <v>121</v>
      </c>
      <c r="I9" s="16">
        <v>13</v>
      </c>
      <c r="J9" s="1">
        <v>44582</v>
      </c>
      <c r="K9" s="3">
        <v>0.115</v>
      </c>
      <c r="L9" s="13">
        <f t="shared" si="0"/>
        <v>0.18786077808518631</v>
      </c>
      <c r="M9" s="16">
        <f t="shared" si="1"/>
        <v>5699.3846153846152</v>
      </c>
    </row>
    <row r="10" spans="1:13" x14ac:dyDescent="0.3">
      <c r="A10">
        <v>100008</v>
      </c>
      <c r="B10" t="s">
        <v>18</v>
      </c>
      <c r="C10" t="s">
        <v>16</v>
      </c>
      <c r="D10" t="s">
        <v>24</v>
      </c>
      <c r="E10" s="1">
        <v>44570</v>
      </c>
      <c r="F10" s="4">
        <v>84035</v>
      </c>
      <c r="G10" s="4">
        <v>66087</v>
      </c>
      <c r="H10" s="2">
        <v>3405</v>
      </c>
      <c r="I10" s="16">
        <v>14</v>
      </c>
      <c r="J10" s="1">
        <v>44584</v>
      </c>
      <c r="K10" s="3">
        <v>1.2716000000000001</v>
      </c>
      <c r="L10" s="13">
        <f t="shared" si="0"/>
        <v>51.522992419083941</v>
      </c>
      <c r="M10" s="16">
        <f t="shared" si="1"/>
        <v>6002.5</v>
      </c>
    </row>
    <row r="11" spans="1:13" x14ac:dyDescent="0.3">
      <c r="A11">
        <v>100009</v>
      </c>
      <c r="B11" t="s">
        <v>13</v>
      </c>
      <c r="C11" t="s">
        <v>14</v>
      </c>
      <c r="D11" t="s">
        <v>24</v>
      </c>
      <c r="E11" s="1">
        <v>44571</v>
      </c>
      <c r="F11" s="4">
        <v>74906</v>
      </c>
      <c r="G11" s="4">
        <v>258767</v>
      </c>
      <c r="H11" s="2">
        <v>1149</v>
      </c>
      <c r="I11" s="16">
        <v>1</v>
      </c>
      <c r="J11" s="1">
        <v>44572</v>
      </c>
      <c r="K11" s="3">
        <v>0.28949999999999998</v>
      </c>
      <c r="L11" s="13">
        <f t="shared" si="0"/>
        <v>4.4402879810795044</v>
      </c>
      <c r="M11" s="16">
        <f t="shared" si="1"/>
        <v>74906</v>
      </c>
    </row>
    <row r="12" spans="1:13" x14ac:dyDescent="0.3">
      <c r="A12">
        <v>100010</v>
      </c>
      <c r="B12" t="s">
        <v>18</v>
      </c>
      <c r="C12" t="s">
        <v>21</v>
      </c>
      <c r="D12" t="s">
        <v>24</v>
      </c>
      <c r="E12" s="1">
        <v>44572</v>
      </c>
      <c r="F12" s="4">
        <v>15117</v>
      </c>
      <c r="G12" s="4">
        <v>926004</v>
      </c>
      <c r="H12" s="2">
        <v>2657</v>
      </c>
      <c r="I12" s="16">
        <v>18</v>
      </c>
      <c r="J12" s="1">
        <v>44590</v>
      </c>
      <c r="K12" s="3">
        <v>1.6299999999999999E-2</v>
      </c>
      <c r="L12" s="13">
        <f t="shared" si="0"/>
        <v>2.8693180591012566</v>
      </c>
      <c r="M12" s="16">
        <f t="shared" si="1"/>
        <v>839.83333333333337</v>
      </c>
    </row>
    <row r="13" spans="1:13" x14ac:dyDescent="0.3">
      <c r="A13">
        <v>100011</v>
      </c>
      <c r="B13" t="s">
        <v>19</v>
      </c>
      <c r="C13" t="s">
        <v>11</v>
      </c>
      <c r="D13" t="s">
        <v>22</v>
      </c>
      <c r="E13" s="1">
        <v>44573</v>
      </c>
      <c r="F13" s="4">
        <v>87945</v>
      </c>
      <c r="G13" s="4">
        <v>992541</v>
      </c>
      <c r="H13" s="2">
        <v>2901</v>
      </c>
      <c r="I13" s="16">
        <v>7</v>
      </c>
      <c r="J13" s="1">
        <v>44580</v>
      </c>
      <c r="K13" s="3">
        <v>8.8599999999999998E-2</v>
      </c>
      <c r="L13" s="13">
        <f t="shared" si="0"/>
        <v>2.9228011739565418</v>
      </c>
      <c r="M13" s="16">
        <f t="shared" si="1"/>
        <v>12563.571428571429</v>
      </c>
    </row>
    <row r="14" spans="1:13" x14ac:dyDescent="0.3">
      <c r="A14">
        <v>100012</v>
      </c>
      <c r="B14" t="s">
        <v>13</v>
      </c>
      <c r="C14" t="s">
        <v>16</v>
      </c>
      <c r="D14" t="s">
        <v>15</v>
      </c>
      <c r="E14" s="1">
        <v>44574</v>
      </c>
      <c r="F14" s="4">
        <v>59591</v>
      </c>
      <c r="G14" s="4">
        <v>343970</v>
      </c>
      <c r="H14" s="2">
        <v>1906</v>
      </c>
      <c r="I14" s="16">
        <v>19</v>
      </c>
      <c r="J14" s="1">
        <v>44593</v>
      </c>
      <c r="K14" s="3">
        <v>0.17319999999999999</v>
      </c>
      <c r="L14" s="13">
        <f t="shared" si="0"/>
        <v>5.54118091694043</v>
      </c>
      <c r="M14" s="16">
        <f t="shared" si="1"/>
        <v>3136.3684210526317</v>
      </c>
    </row>
    <row r="15" spans="1:13" x14ac:dyDescent="0.3">
      <c r="A15">
        <v>100013</v>
      </c>
      <c r="B15" t="s">
        <v>10</v>
      </c>
      <c r="C15" t="s">
        <v>25</v>
      </c>
      <c r="D15" t="s">
        <v>15</v>
      </c>
      <c r="E15" s="1">
        <v>44575</v>
      </c>
      <c r="F15" s="4">
        <v>71678</v>
      </c>
      <c r="G15" s="4">
        <v>696891</v>
      </c>
      <c r="H15" s="2">
        <v>2935</v>
      </c>
      <c r="I15" s="16">
        <v>9</v>
      </c>
      <c r="J15" s="1">
        <v>44584</v>
      </c>
      <c r="K15" s="3">
        <v>0.10290000000000001</v>
      </c>
      <c r="L15" s="13">
        <f t="shared" si="0"/>
        <v>4.2115624968610588</v>
      </c>
      <c r="M15" s="16">
        <f t="shared" si="1"/>
        <v>7964.2222222222226</v>
      </c>
    </row>
    <row r="16" spans="1:13" x14ac:dyDescent="0.3">
      <c r="A16">
        <v>100014</v>
      </c>
      <c r="B16" t="s">
        <v>13</v>
      </c>
      <c r="C16" t="s">
        <v>21</v>
      </c>
      <c r="D16" t="s">
        <v>15</v>
      </c>
      <c r="E16" s="1">
        <v>44576</v>
      </c>
      <c r="F16" s="4">
        <v>65588</v>
      </c>
      <c r="G16" s="4">
        <v>420535</v>
      </c>
      <c r="H16" s="2">
        <v>279</v>
      </c>
      <c r="I16" s="16">
        <v>21</v>
      </c>
      <c r="J16" s="1">
        <v>44597</v>
      </c>
      <c r="K16" s="3">
        <v>0.156</v>
      </c>
      <c r="L16" s="13">
        <f t="shared" si="0"/>
        <v>0.66344061730890413</v>
      </c>
      <c r="M16" s="16">
        <f t="shared" si="1"/>
        <v>3123.2380952380954</v>
      </c>
    </row>
    <row r="17" spans="1:13" x14ac:dyDescent="0.3">
      <c r="A17">
        <v>100015</v>
      </c>
      <c r="B17" t="s">
        <v>18</v>
      </c>
      <c r="C17" t="s">
        <v>21</v>
      </c>
      <c r="D17" t="s">
        <v>22</v>
      </c>
      <c r="E17" s="1">
        <v>44577</v>
      </c>
      <c r="F17" s="4">
        <v>51368</v>
      </c>
      <c r="G17" s="4">
        <v>905867</v>
      </c>
      <c r="H17" s="2">
        <v>2297</v>
      </c>
      <c r="I17" s="16">
        <v>23</v>
      </c>
      <c r="J17" s="1">
        <v>44600</v>
      </c>
      <c r="K17" s="3">
        <v>5.67E-2</v>
      </c>
      <c r="L17" s="13">
        <f t="shared" si="0"/>
        <v>2.5356923256946104</v>
      </c>
      <c r="M17" s="16">
        <f t="shared" si="1"/>
        <v>2233.391304347826</v>
      </c>
    </row>
    <row r="18" spans="1:13" x14ac:dyDescent="0.3">
      <c r="A18">
        <v>100016</v>
      </c>
      <c r="B18" t="s">
        <v>13</v>
      </c>
      <c r="C18" t="s">
        <v>23</v>
      </c>
      <c r="D18" t="s">
        <v>17</v>
      </c>
      <c r="E18" s="1">
        <v>44578</v>
      </c>
      <c r="F18" s="4">
        <v>14300</v>
      </c>
      <c r="G18" s="4">
        <v>719281</v>
      </c>
      <c r="H18" s="2">
        <v>3530</v>
      </c>
      <c r="I18" s="16">
        <v>11</v>
      </c>
      <c r="J18" s="1">
        <v>44589</v>
      </c>
      <c r="K18" s="3">
        <v>1.9900000000000001E-2</v>
      </c>
      <c r="L18" s="13">
        <f t="shared" si="0"/>
        <v>4.9076786401976422</v>
      </c>
      <c r="M18" s="16">
        <f t="shared" si="1"/>
        <v>1300</v>
      </c>
    </row>
    <row r="19" spans="1:13" x14ac:dyDescent="0.3">
      <c r="A19">
        <v>100017</v>
      </c>
      <c r="B19" t="s">
        <v>18</v>
      </c>
      <c r="C19" t="s">
        <v>11</v>
      </c>
      <c r="D19" t="s">
        <v>12</v>
      </c>
      <c r="E19" s="1">
        <v>44579</v>
      </c>
      <c r="F19" s="4">
        <v>66262</v>
      </c>
      <c r="G19" s="4">
        <v>130779</v>
      </c>
      <c r="H19" s="2">
        <v>4080</v>
      </c>
      <c r="I19" s="16">
        <v>25</v>
      </c>
      <c r="J19" s="1">
        <v>44604</v>
      </c>
      <c r="K19" s="3">
        <v>0.50670000000000004</v>
      </c>
      <c r="L19" s="13">
        <f t="shared" si="0"/>
        <v>31.197669350583809</v>
      </c>
      <c r="M19" s="16">
        <f t="shared" si="1"/>
        <v>2650.48</v>
      </c>
    </row>
    <row r="20" spans="1:13" x14ac:dyDescent="0.3">
      <c r="A20">
        <v>100018</v>
      </c>
      <c r="B20" t="s">
        <v>10</v>
      </c>
      <c r="C20" t="s">
        <v>14</v>
      </c>
      <c r="D20" t="s">
        <v>17</v>
      </c>
      <c r="E20" s="1">
        <v>44580</v>
      </c>
      <c r="F20" s="4">
        <v>5542</v>
      </c>
      <c r="G20" s="4">
        <v>362628</v>
      </c>
      <c r="H20" s="2">
        <v>1083</v>
      </c>
      <c r="I20" s="16">
        <v>18</v>
      </c>
      <c r="J20" s="1">
        <v>44598</v>
      </c>
      <c r="K20" s="3">
        <v>1.5299999999999999E-2</v>
      </c>
      <c r="L20" s="13">
        <f t="shared" si="0"/>
        <v>2.9865316522717493</v>
      </c>
      <c r="M20" s="16">
        <f t="shared" si="1"/>
        <v>307.88888888888891</v>
      </c>
    </row>
    <row r="21" spans="1:13" x14ac:dyDescent="0.3">
      <c r="A21">
        <v>100019</v>
      </c>
      <c r="B21" t="s">
        <v>13</v>
      </c>
      <c r="C21" t="s">
        <v>25</v>
      </c>
      <c r="D21" t="s">
        <v>15</v>
      </c>
      <c r="E21" s="1">
        <v>44581</v>
      </c>
      <c r="F21" s="4">
        <v>94041</v>
      </c>
      <c r="G21" s="4">
        <v>941739</v>
      </c>
      <c r="H21" s="2">
        <v>881</v>
      </c>
      <c r="I21" s="16">
        <v>26</v>
      </c>
      <c r="J21" s="1">
        <v>44607</v>
      </c>
      <c r="K21" s="3">
        <v>9.9900000000000003E-2</v>
      </c>
      <c r="L21" s="13">
        <f t="shared" si="0"/>
        <v>0.93550336133472234</v>
      </c>
      <c r="M21" s="16">
        <f t="shared" si="1"/>
        <v>3616.9615384615386</v>
      </c>
    </row>
    <row r="22" spans="1:13" x14ac:dyDescent="0.3">
      <c r="A22">
        <v>100020</v>
      </c>
      <c r="B22" t="s">
        <v>10</v>
      </c>
      <c r="C22" t="s">
        <v>23</v>
      </c>
      <c r="D22" t="s">
        <v>17</v>
      </c>
      <c r="E22" s="1">
        <v>44582</v>
      </c>
      <c r="F22" s="4">
        <v>65086</v>
      </c>
      <c r="G22" s="4">
        <v>886509</v>
      </c>
      <c r="H22" s="2">
        <v>2489</v>
      </c>
      <c r="I22" s="16">
        <v>22</v>
      </c>
      <c r="J22" s="1">
        <v>44604</v>
      </c>
      <c r="K22" s="3">
        <v>7.3400000000000007E-2</v>
      </c>
      <c r="L22" s="13">
        <f t="shared" si="0"/>
        <v>2.8076421107963934</v>
      </c>
      <c r="M22" s="16">
        <f t="shared" si="1"/>
        <v>2958.4545454545455</v>
      </c>
    </row>
    <row r="23" spans="1:13" x14ac:dyDescent="0.3">
      <c r="A23">
        <v>100021</v>
      </c>
      <c r="B23" t="s">
        <v>18</v>
      </c>
      <c r="C23" t="s">
        <v>16</v>
      </c>
      <c r="D23" t="s">
        <v>15</v>
      </c>
      <c r="E23" s="1">
        <v>44583</v>
      </c>
      <c r="F23" s="4">
        <v>62078</v>
      </c>
      <c r="G23" s="4">
        <v>100019</v>
      </c>
      <c r="H23" s="2">
        <v>2377</v>
      </c>
      <c r="I23" s="16">
        <v>8</v>
      </c>
      <c r="J23" s="1">
        <v>44591</v>
      </c>
      <c r="K23" s="3">
        <v>0.62070000000000003</v>
      </c>
      <c r="L23" s="13">
        <f t="shared" si="0"/>
        <v>23.765484557933995</v>
      </c>
      <c r="M23" s="16">
        <f t="shared" si="1"/>
        <v>7759.75</v>
      </c>
    </row>
    <row r="24" spans="1:13" x14ac:dyDescent="0.3">
      <c r="A24">
        <v>100022</v>
      </c>
      <c r="B24" t="s">
        <v>19</v>
      </c>
      <c r="C24" t="s">
        <v>23</v>
      </c>
      <c r="D24" t="s">
        <v>17</v>
      </c>
      <c r="E24" s="1">
        <v>44584</v>
      </c>
      <c r="F24" s="4">
        <v>77601</v>
      </c>
      <c r="G24" s="4">
        <v>596436</v>
      </c>
      <c r="H24" s="2">
        <v>2704</v>
      </c>
      <c r="I24" s="16">
        <v>6</v>
      </c>
      <c r="J24" s="1">
        <v>44590</v>
      </c>
      <c r="K24" s="3">
        <v>0.13009999999999999</v>
      </c>
      <c r="L24" s="13">
        <f t="shared" si="0"/>
        <v>4.5335962282625459</v>
      </c>
      <c r="M24" s="16">
        <f t="shared" si="1"/>
        <v>12933.5</v>
      </c>
    </row>
    <row r="25" spans="1:13" x14ac:dyDescent="0.3">
      <c r="A25">
        <v>100023</v>
      </c>
      <c r="B25" t="s">
        <v>10</v>
      </c>
      <c r="C25" t="s">
        <v>23</v>
      </c>
      <c r="D25" t="s">
        <v>22</v>
      </c>
      <c r="E25" s="1">
        <v>44585</v>
      </c>
      <c r="F25" s="4">
        <v>29510</v>
      </c>
      <c r="G25" s="4">
        <v>183606</v>
      </c>
      <c r="H25" s="2">
        <v>1242</v>
      </c>
      <c r="I25" s="16">
        <v>22</v>
      </c>
      <c r="J25" s="1">
        <v>44607</v>
      </c>
      <c r="K25" s="3">
        <v>0.16070000000000001</v>
      </c>
      <c r="L25" s="13">
        <f t="shared" si="0"/>
        <v>6.7644848207574917</v>
      </c>
      <c r="M25" s="16">
        <f t="shared" si="1"/>
        <v>1341.3636363636363</v>
      </c>
    </row>
    <row r="26" spans="1:13" x14ac:dyDescent="0.3">
      <c r="A26">
        <v>100024</v>
      </c>
      <c r="B26" t="s">
        <v>10</v>
      </c>
      <c r="C26" t="s">
        <v>16</v>
      </c>
      <c r="D26" t="s">
        <v>12</v>
      </c>
      <c r="E26" s="1">
        <v>44586</v>
      </c>
      <c r="F26" s="4">
        <v>54251</v>
      </c>
      <c r="G26" s="4">
        <v>745065</v>
      </c>
      <c r="H26" s="2">
        <v>4573</v>
      </c>
      <c r="I26" s="16">
        <v>20</v>
      </c>
      <c r="J26" s="1">
        <v>44606</v>
      </c>
      <c r="K26" s="3">
        <v>7.2800000000000004E-2</v>
      </c>
      <c r="L26" s="13">
        <f t="shared" si="0"/>
        <v>6.137719527826432</v>
      </c>
      <c r="M26" s="16">
        <f t="shared" si="1"/>
        <v>2712.55</v>
      </c>
    </row>
    <row r="27" spans="1:13" x14ac:dyDescent="0.3">
      <c r="A27">
        <v>100025</v>
      </c>
      <c r="B27" t="s">
        <v>18</v>
      </c>
      <c r="C27" t="s">
        <v>11</v>
      </c>
      <c r="D27" t="s">
        <v>15</v>
      </c>
      <c r="E27" s="1">
        <v>44587</v>
      </c>
      <c r="F27" s="4">
        <v>42835</v>
      </c>
      <c r="G27" s="4">
        <v>243034</v>
      </c>
      <c r="H27" s="2">
        <v>18</v>
      </c>
      <c r="I27" s="16">
        <v>19</v>
      </c>
      <c r="J27" s="1">
        <v>44606</v>
      </c>
      <c r="K27" s="3">
        <v>0.17630000000000001</v>
      </c>
      <c r="L27" s="13">
        <f t="shared" si="0"/>
        <v>7.4063711250277733E-2</v>
      </c>
      <c r="M27" s="16">
        <f t="shared" si="1"/>
        <v>2254.4736842105262</v>
      </c>
    </row>
    <row r="28" spans="1:13" x14ac:dyDescent="0.3">
      <c r="A28">
        <v>100026</v>
      </c>
      <c r="B28" t="s">
        <v>13</v>
      </c>
      <c r="C28" t="s">
        <v>11</v>
      </c>
      <c r="D28" t="s">
        <v>22</v>
      </c>
      <c r="E28" s="1">
        <v>44588</v>
      </c>
      <c r="F28" s="4">
        <v>94908</v>
      </c>
      <c r="G28" s="4">
        <v>818370</v>
      </c>
      <c r="H28" s="2">
        <v>3006</v>
      </c>
      <c r="I28" s="16">
        <v>10</v>
      </c>
      <c r="J28" s="1">
        <v>44598</v>
      </c>
      <c r="K28" s="3">
        <v>0.11600000000000001</v>
      </c>
      <c r="L28" s="13">
        <f t="shared" si="0"/>
        <v>3.6731551743099087</v>
      </c>
      <c r="M28" s="16">
        <f t="shared" si="1"/>
        <v>9490.7999999999993</v>
      </c>
    </row>
    <row r="29" spans="1:13" x14ac:dyDescent="0.3">
      <c r="A29">
        <v>100027</v>
      </c>
      <c r="B29" t="s">
        <v>18</v>
      </c>
      <c r="C29" t="s">
        <v>11</v>
      </c>
      <c r="D29" t="s">
        <v>15</v>
      </c>
      <c r="E29" s="1">
        <v>44589</v>
      </c>
      <c r="F29" s="4">
        <v>64540</v>
      </c>
      <c r="G29" s="4">
        <v>342198</v>
      </c>
      <c r="H29" s="2">
        <v>2199</v>
      </c>
      <c r="I29" s="16">
        <v>23</v>
      </c>
      <c r="J29" s="1">
        <v>44612</v>
      </c>
      <c r="K29" s="3">
        <v>0.18859999999999999</v>
      </c>
      <c r="L29" s="13">
        <f t="shared" si="0"/>
        <v>6.4261041852962313</v>
      </c>
      <c r="M29" s="16">
        <f t="shared" si="1"/>
        <v>2806.086956521739</v>
      </c>
    </row>
    <row r="30" spans="1:13" x14ac:dyDescent="0.3">
      <c r="A30">
        <v>100028</v>
      </c>
      <c r="B30" t="s">
        <v>18</v>
      </c>
      <c r="C30" t="s">
        <v>21</v>
      </c>
      <c r="D30" t="s">
        <v>15</v>
      </c>
      <c r="E30" s="1">
        <v>44590</v>
      </c>
      <c r="F30" s="4">
        <v>42387</v>
      </c>
      <c r="G30" s="4">
        <v>767627</v>
      </c>
      <c r="H30" s="2">
        <v>3108</v>
      </c>
      <c r="I30" s="16">
        <v>24</v>
      </c>
      <c r="J30" s="1">
        <v>44614</v>
      </c>
      <c r="K30" s="3">
        <v>5.5199999999999999E-2</v>
      </c>
      <c r="L30" s="13">
        <f t="shared" si="0"/>
        <v>4.0488414294963571</v>
      </c>
      <c r="M30" s="16">
        <f t="shared" si="1"/>
        <v>1766.125</v>
      </c>
    </row>
    <row r="31" spans="1:13" x14ac:dyDescent="0.3">
      <c r="A31">
        <v>100029</v>
      </c>
      <c r="B31" t="s">
        <v>13</v>
      </c>
      <c r="C31" t="s">
        <v>11</v>
      </c>
      <c r="D31" t="s">
        <v>22</v>
      </c>
      <c r="E31" s="1">
        <v>44591</v>
      </c>
      <c r="F31" s="4">
        <v>78786</v>
      </c>
      <c r="G31" s="4">
        <v>784142</v>
      </c>
      <c r="H31" s="2">
        <v>178</v>
      </c>
      <c r="I31" s="16">
        <v>10</v>
      </c>
      <c r="J31" s="1">
        <v>44601</v>
      </c>
      <c r="K31" s="3">
        <v>0.10050000000000001</v>
      </c>
      <c r="L31" s="13">
        <f t="shared" si="0"/>
        <v>0.22699970158466198</v>
      </c>
      <c r="M31" s="16">
        <f t="shared" si="1"/>
        <v>7878.6</v>
      </c>
    </row>
    <row r="32" spans="1:13" x14ac:dyDescent="0.3">
      <c r="A32">
        <v>100030</v>
      </c>
      <c r="B32" t="s">
        <v>10</v>
      </c>
      <c r="C32" t="s">
        <v>25</v>
      </c>
      <c r="D32" t="s">
        <v>22</v>
      </c>
      <c r="E32" s="1">
        <v>44592</v>
      </c>
      <c r="F32" s="4">
        <v>25884</v>
      </c>
      <c r="G32" s="4">
        <v>377896</v>
      </c>
      <c r="H32" s="2">
        <v>1177</v>
      </c>
      <c r="I32" s="16">
        <v>10</v>
      </c>
      <c r="J32" s="1">
        <v>44602</v>
      </c>
      <c r="K32" s="3">
        <v>6.8500000000000005E-2</v>
      </c>
      <c r="L32" s="13">
        <f t="shared" si="0"/>
        <v>3.1146135444672609</v>
      </c>
      <c r="M32" s="16">
        <f t="shared" si="1"/>
        <v>2588.4</v>
      </c>
    </row>
    <row r="33" spans="1:13" x14ac:dyDescent="0.3">
      <c r="A33">
        <v>100031</v>
      </c>
      <c r="B33" t="s">
        <v>19</v>
      </c>
      <c r="C33" t="s">
        <v>20</v>
      </c>
      <c r="D33" t="s">
        <v>17</v>
      </c>
      <c r="E33" s="1">
        <v>44593</v>
      </c>
      <c r="F33" s="4">
        <v>67139</v>
      </c>
      <c r="G33" s="4">
        <v>384668</v>
      </c>
      <c r="H33" s="2">
        <v>2988</v>
      </c>
      <c r="I33" s="16">
        <v>14</v>
      </c>
      <c r="J33" s="1">
        <v>44607</v>
      </c>
      <c r="K33" s="3">
        <v>0.17449999999999999</v>
      </c>
      <c r="L33" s="13">
        <f t="shared" si="0"/>
        <v>7.767737373527301</v>
      </c>
      <c r="M33" s="16">
        <f t="shared" si="1"/>
        <v>4795.6428571428569</v>
      </c>
    </row>
    <row r="34" spans="1:13" x14ac:dyDescent="0.3">
      <c r="A34">
        <v>100032</v>
      </c>
      <c r="B34" t="s">
        <v>18</v>
      </c>
      <c r="C34" t="s">
        <v>23</v>
      </c>
      <c r="D34" t="s">
        <v>15</v>
      </c>
      <c r="E34" s="1">
        <v>44594</v>
      </c>
      <c r="F34" s="4">
        <v>53051</v>
      </c>
      <c r="G34" s="4">
        <v>742569</v>
      </c>
      <c r="H34" s="2">
        <v>4786</v>
      </c>
      <c r="I34" s="16">
        <v>27</v>
      </c>
      <c r="J34" s="1">
        <v>44621</v>
      </c>
      <c r="K34" s="3">
        <v>7.1400000000000005E-2</v>
      </c>
      <c r="L34" s="13">
        <f t="shared" si="0"/>
        <v>6.4451922986281414</v>
      </c>
      <c r="M34" s="16">
        <f t="shared" si="1"/>
        <v>1964.851851851852</v>
      </c>
    </row>
    <row r="35" spans="1:13" x14ac:dyDescent="0.3">
      <c r="A35">
        <v>100033</v>
      </c>
      <c r="B35" t="s">
        <v>18</v>
      </c>
      <c r="C35" t="s">
        <v>11</v>
      </c>
      <c r="D35" t="s">
        <v>24</v>
      </c>
      <c r="E35" s="1">
        <v>44595</v>
      </c>
      <c r="F35" s="4">
        <v>16152</v>
      </c>
      <c r="G35" s="4">
        <v>533092</v>
      </c>
      <c r="H35" s="2">
        <v>4390</v>
      </c>
      <c r="I35" s="16">
        <v>17</v>
      </c>
      <c r="J35" s="1">
        <v>44612</v>
      </c>
      <c r="K35" s="3">
        <v>3.0300000000000001E-2</v>
      </c>
      <c r="L35" s="13">
        <f t="shared" si="0"/>
        <v>8.2349763267878711</v>
      </c>
      <c r="M35" s="16">
        <f t="shared" si="1"/>
        <v>950.11764705882354</v>
      </c>
    </row>
    <row r="36" spans="1:13" x14ac:dyDescent="0.3">
      <c r="A36">
        <v>100034</v>
      </c>
      <c r="B36" t="s">
        <v>13</v>
      </c>
      <c r="C36" t="s">
        <v>20</v>
      </c>
      <c r="D36" t="s">
        <v>24</v>
      </c>
      <c r="E36" s="1">
        <v>44596</v>
      </c>
      <c r="F36" s="4">
        <v>56221</v>
      </c>
      <c r="G36" s="4">
        <v>65176</v>
      </c>
      <c r="H36" s="2">
        <v>2644</v>
      </c>
      <c r="I36" s="16">
        <v>5</v>
      </c>
      <c r="J36" s="1">
        <v>44601</v>
      </c>
      <c r="K36" s="3">
        <v>0.86260000000000003</v>
      </c>
      <c r="L36" s="13">
        <f t="shared" si="0"/>
        <v>40.567079906714127</v>
      </c>
      <c r="M36" s="16">
        <f t="shared" si="1"/>
        <v>11244.2</v>
      </c>
    </row>
    <row r="37" spans="1:13" x14ac:dyDescent="0.3">
      <c r="A37">
        <v>100035</v>
      </c>
      <c r="B37" t="s">
        <v>18</v>
      </c>
      <c r="C37" t="s">
        <v>16</v>
      </c>
      <c r="D37" t="s">
        <v>12</v>
      </c>
      <c r="E37" s="1">
        <v>44597</v>
      </c>
      <c r="F37" s="4">
        <v>51945</v>
      </c>
      <c r="G37" s="4">
        <v>870753</v>
      </c>
      <c r="H37" s="2">
        <v>2188</v>
      </c>
      <c r="I37" s="16">
        <v>8</v>
      </c>
      <c r="J37" s="1">
        <v>44605</v>
      </c>
      <c r="K37" s="3">
        <v>5.9700000000000003E-2</v>
      </c>
      <c r="L37" s="13">
        <f t="shared" si="0"/>
        <v>2.5127676849807008</v>
      </c>
      <c r="M37" s="16">
        <f t="shared" si="1"/>
        <v>6493.125</v>
      </c>
    </row>
    <row r="38" spans="1:13" x14ac:dyDescent="0.3">
      <c r="A38">
        <v>100036</v>
      </c>
      <c r="B38" t="s">
        <v>18</v>
      </c>
      <c r="C38" t="s">
        <v>11</v>
      </c>
      <c r="D38" t="s">
        <v>24</v>
      </c>
      <c r="E38" s="1">
        <v>44598</v>
      </c>
      <c r="F38" s="4">
        <v>91998</v>
      </c>
      <c r="G38" s="4">
        <v>370665</v>
      </c>
      <c r="H38" s="2">
        <v>1502</v>
      </c>
      <c r="I38" s="16">
        <v>13</v>
      </c>
      <c r="J38" s="1">
        <v>44611</v>
      </c>
      <c r="K38" s="3">
        <v>0.2482</v>
      </c>
      <c r="L38" s="13">
        <f t="shared" si="0"/>
        <v>4.0521764935993412</v>
      </c>
      <c r="M38" s="16">
        <f t="shared" si="1"/>
        <v>7076.7692307692305</v>
      </c>
    </row>
    <row r="39" spans="1:13" x14ac:dyDescent="0.3">
      <c r="A39">
        <v>100037</v>
      </c>
      <c r="B39" t="s">
        <v>13</v>
      </c>
      <c r="C39" t="s">
        <v>25</v>
      </c>
      <c r="D39" t="s">
        <v>22</v>
      </c>
      <c r="E39" s="1">
        <v>44599</v>
      </c>
      <c r="F39" s="4">
        <v>95253</v>
      </c>
      <c r="G39" s="4">
        <v>193054</v>
      </c>
      <c r="H39" s="2">
        <v>994</v>
      </c>
      <c r="I39" s="16">
        <v>7</v>
      </c>
      <c r="J39" s="1">
        <v>44606</v>
      </c>
      <c r="K39" s="3">
        <v>0.49340000000000001</v>
      </c>
      <c r="L39" s="13">
        <f t="shared" si="0"/>
        <v>5.1488184652998639</v>
      </c>
      <c r="M39" s="16">
        <f t="shared" si="1"/>
        <v>13607.571428571429</v>
      </c>
    </row>
    <row r="40" spans="1:13" x14ac:dyDescent="0.3">
      <c r="A40">
        <v>100038</v>
      </c>
      <c r="B40" t="s">
        <v>18</v>
      </c>
      <c r="C40" t="s">
        <v>25</v>
      </c>
      <c r="D40" t="s">
        <v>12</v>
      </c>
      <c r="E40" s="1">
        <v>44600</v>
      </c>
      <c r="F40" s="4">
        <v>18633</v>
      </c>
      <c r="G40" s="4">
        <v>562636</v>
      </c>
      <c r="H40" s="2">
        <v>4930</v>
      </c>
      <c r="I40" s="16">
        <v>6</v>
      </c>
      <c r="J40" s="1">
        <v>44606</v>
      </c>
      <c r="K40" s="3">
        <v>3.3099999999999997E-2</v>
      </c>
      <c r="L40" s="13">
        <f t="shared" si="0"/>
        <v>8.7623259087580596</v>
      </c>
      <c r="M40" s="16">
        <f t="shared" si="1"/>
        <v>3105.5</v>
      </c>
    </row>
    <row r="41" spans="1:13" x14ac:dyDescent="0.3">
      <c r="A41">
        <v>100039</v>
      </c>
      <c r="B41" t="s">
        <v>13</v>
      </c>
      <c r="C41" t="s">
        <v>23</v>
      </c>
      <c r="D41" t="s">
        <v>22</v>
      </c>
      <c r="E41" s="1">
        <v>44601</v>
      </c>
      <c r="F41" s="4">
        <v>11377</v>
      </c>
      <c r="G41" s="4">
        <v>943036</v>
      </c>
      <c r="H41" s="2">
        <v>3012</v>
      </c>
      <c r="I41" s="16">
        <v>2</v>
      </c>
      <c r="J41" s="1">
        <v>44603</v>
      </c>
      <c r="K41" s="3">
        <v>1.21E-2</v>
      </c>
      <c r="L41" s="13">
        <f t="shared" si="0"/>
        <v>3.193939573886893</v>
      </c>
      <c r="M41" s="16">
        <f t="shared" si="1"/>
        <v>5688.5</v>
      </c>
    </row>
    <row r="42" spans="1:13" x14ac:dyDescent="0.3">
      <c r="A42">
        <v>100040</v>
      </c>
      <c r="B42" t="s">
        <v>13</v>
      </c>
      <c r="C42" t="s">
        <v>14</v>
      </c>
      <c r="D42" t="s">
        <v>12</v>
      </c>
      <c r="E42" s="1">
        <v>44602</v>
      </c>
      <c r="F42" s="4">
        <v>70726</v>
      </c>
      <c r="G42" s="4">
        <v>590195</v>
      </c>
      <c r="H42" s="2">
        <v>1474</v>
      </c>
      <c r="I42" s="16">
        <v>13</v>
      </c>
      <c r="J42" s="1">
        <v>44615</v>
      </c>
      <c r="K42" s="3">
        <v>0.1198</v>
      </c>
      <c r="L42" s="13">
        <f t="shared" si="0"/>
        <v>2.4974796465574935</v>
      </c>
      <c r="M42" s="16">
        <f t="shared" si="1"/>
        <v>5440.4615384615381</v>
      </c>
    </row>
    <row r="43" spans="1:13" x14ac:dyDescent="0.3">
      <c r="A43">
        <v>100041</v>
      </c>
      <c r="B43" t="s">
        <v>10</v>
      </c>
      <c r="C43" t="s">
        <v>23</v>
      </c>
      <c r="D43" t="s">
        <v>22</v>
      </c>
      <c r="E43" s="1">
        <v>44603</v>
      </c>
      <c r="F43" s="4">
        <v>56156</v>
      </c>
      <c r="G43" s="4">
        <v>787107</v>
      </c>
      <c r="H43" s="2">
        <v>3403</v>
      </c>
      <c r="I43" s="16">
        <v>6</v>
      </c>
      <c r="J43" s="1">
        <v>44609</v>
      </c>
      <c r="K43" s="3">
        <v>7.1300000000000002E-2</v>
      </c>
      <c r="L43" s="13">
        <f t="shared" si="0"/>
        <v>4.3234274374386201</v>
      </c>
      <c r="M43" s="16">
        <f t="shared" si="1"/>
        <v>9359.3333333333339</v>
      </c>
    </row>
    <row r="44" spans="1:13" x14ac:dyDescent="0.3">
      <c r="A44">
        <v>100042</v>
      </c>
      <c r="B44" t="s">
        <v>10</v>
      </c>
      <c r="C44" t="s">
        <v>20</v>
      </c>
      <c r="D44" t="s">
        <v>22</v>
      </c>
      <c r="E44" s="1">
        <v>44604</v>
      </c>
      <c r="F44" s="4">
        <v>45946</v>
      </c>
      <c r="G44" s="4">
        <v>744577</v>
      </c>
      <c r="H44" s="2">
        <v>244</v>
      </c>
      <c r="I44" s="16">
        <v>19</v>
      </c>
      <c r="J44" s="1">
        <v>44623</v>
      </c>
      <c r="K44" s="3">
        <v>6.1699999999999998E-2</v>
      </c>
      <c r="L44" s="13">
        <f t="shared" si="0"/>
        <v>0.32770284335938393</v>
      </c>
      <c r="M44" s="16">
        <f t="shared" si="1"/>
        <v>2418.2105263157896</v>
      </c>
    </row>
    <row r="45" spans="1:13" x14ac:dyDescent="0.3">
      <c r="A45">
        <v>100043</v>
      </c>
      <c r="B45" t="s">
        <v>18</v>
      </c>
      <c r="C45" t="s">
        <v>11</v>
      </c>
      <c r="D45" t="s">
        <v>12</v>
      </c>
      <c r="E45" s="1">
        <v>44605</v>
      </c>
      <c r="F45" s="4">
        <v>76982</v>
      </c>
      <c r="G45" s="4">
        <v>819061</v>
      </c>
      <c r="H45" s="2">
        <v>3039</v>
      </c>
      <c r="I45" s="16">
        <v>23</v>
      </c>
      <c r="J45" s="1">
        <v>44628</v>
      </c>
      <c r="K45" s="3">
        <v>9.4E-2</v>
      </c>
      <c r="L45" s="13">
        <f t="shared" si="0"/>
        <v>3.710346360039118</v>
      </c>
      <c r="M45" s="16">
        <f t="shared" si="1"/>
        <v>3347.0434782608695</v>
      </c>
    </row>
    <row r="46" spans="1:13" x14ac:dyDescent="0.3">
      <c r="A46">
        <v>100044</v>
      </c>
      <c r="B46" t="s">
        <v>10</v>
      </c>
      <c r="C46" t="s">
        <v>25</v>
      </c>
      <c r="D46" t="s">
        <v>12</v>
      </c>
      <c r="E46" s="1">
        <v>44606</v>
      </c>
      <c r="F46" s="4">
        <v>22508</v>
      </c>
      <c r="G46" s="4">
        <v>729703</v>
      </c>
      <c r="H46" s="2">
        <v>2746</v>
      </c>
      <c r="I46" s="16">
        <v>23</v>
      </c>
      <c r="J46" s="1">
        <v>44629</v>
      </c>
      <c r="K46" s="3">
        <v>3.0800000000000001E-2</v>
      </c>
      <c r="L46" s="13">
        <f t="shared" si="0"/>
        <v>3.7631748807391503</v>
      </c>
      <c r="M46" s="16">
        <f t="shared" si="1"/>
        <v>978.60869565217388</v>
      </c>
    </row>
    <row r="47" spans="1:13" x14ac:dyDescent="0.3">
      <c r="A47">
        <v>100045</v>
      </c>
      <c r="B47" t="s">
        <v>10</v>
      </c>
      <c r="C47" t="s">
        <v>25</v>
      </c>
      <c r="D47" t="s">
        <v>17</v>
      </c>
      <c r="E47" s="1">
        <v>44607</v>
      </c>
      <c r="F47" s="4">
        <v>8010</v>
      </c>
      <c r="G47" s="4">
        <v>545063</v>
      </c>
      <c r="H47" s="2">
        <v>2024</v>
      </c>
      <c r="I47" s="16">
        <v>14</v>
      </c>
      <c r="J47" s="1">
        <v>44621</v>
      </c>
      <c r="K47" s="3">
        <v>1.47E-2</v>
      </c>
      <c r="L47" s="13">
        <f t="shared" si="0"/>
        <v>3.7133322203121475</v>
      </c>
      <c r="M47" s="16">
        <f t="shared" si="1"/>
        <v>572.14285714285711</v>
      </c>
    </row>
    <row r="48" spans="1:13" x14ac:dyDescent="0.3">
      <c r="A48">
        <v>100046</v>
      </c>
      <c r="B48" t="s">
        <v>18</v>
      </c>
      <c r="C48" t="s">
        <v>20</v>
      </c>
      <c r="D48" t="s">
        <v>12</v>
      </c>
      <c r="E48" s="1">
        <v>44608</v>
      </c>
      <c r="F48" s="4">
        <v>46553</v>
      </c>
      <c r="G48" s="4">
        <v>590453</v>
      </c>
      <c r="H48" s="2">
        <v>3497</v>
      </c>
      <c r="I48" s="16">
        <v>23</v>
      </c>
      <c r="J48" s="1">
        <v>44631</v>
      </c>
      <c r="K48" s="3">
        <v>7.8799999999999995E-2</v>
      </c>
      <c r="L48" s="13">
        <f t="shared" si="0"/>
        <v>5.9225713138895051</v>
      </c>
      <c r="M48" s="16">
        <f t="shared" si="1"/>
        <v>2024.0434782608695</v>
      </c>
    </row>
    <row r="49" spans="1:13" x14ac:dyDescent="0.3">
      <c r="A49">
        <v>100047</v>
      </c>
      <c r="B49" t="s">
        <v>18</v>
      </c>
      <c r="C49" t="s">
        <v>14</v>
      </c>
      <c r="D49" t="s">
        <v>17</v>
      </c>
      <c r="E49" s="1">
        <v>44609</v>
      </c>
      <c r="F49" s="4">
        <v>55128</v>
      </c>
      <c r="G49" s="4">
        <v>835097</v>
      </c>
      <c r="H49" s="2">
        <v>1885</v>
      </c>
      <c r="I49" s="16">
        <v>20</v>
      </c>
      <c r="J49" s="1">
        <v>44629</v>
      </c>
      <c r="K49" s="3">
        <v>6.6000000000000003E-2</v>
      </c>
      <c r="L49" s="13">
        <f t="shared" si="0"/>
        <v>2.2572228136372181</v>
      </c>
      <c r="M49" s="16">
        <f t="shared" si="1"/>
        <v>2756.4</v>
      </c>
    </row>
    <row r="50" spans="1:13" x14ac:dyDescent="0.3">
      <c r="A50">
        <v>100048</v>
      </c>
      <c r="B50" t="s">
        <v>13</v>
      </c>
      <c r="C50" t="s">
        <v>11</v>
      </c>
      <c r="D50" t="s">
        <v>15</v>
      </c>
      <c r="E50" s="1">
        <v>44610</v>
      </c>
      <c r="F50" s="4">
        <v>5209</v>
      </c>
      <c r="G50" s="4">
        <v>610655</v>
      </c>
      <c r="H50" s="2">
        <v>4501</v>
      </c>
      <c r="I50" s="16">
        <v>23</v>
      </c>
      <c r="J50" s="1">
        <v>44633</v>
      </c>
      <c r="K50" s="3">
        <v>8.5000000000000006E-3</v>
      </c>
      <c r="L50" s="13">
        <f t="shared" si="0"/>
        <v>7.3707740049618851</v>
      </c>
      <c r="M50" s="16">
        <f t="shared" si="1"/>
        <v>226.47826086956522</v>
      </c>
    </row>
    <row r="51" spans="1:13" x14ac:dyDescent="0.3">
      <c r="A51">
        <v>100049</v>
      </c>
      <c r="B51" t="s">
        <v>18</v>
      </c>
      <c r="C51" t="s">
        <v>25</v>
      </c>
      <c r="D51" t="s">
        <v>15</v>
      </c>
      <c r="E51" s="1">
        <v>44611</v>
      </c>
      <c r="F51" s="4">
        <v>74484</v>
      </c>
      <c r="G51" s="4">
        <v>901061</v>
      </c>
      <c r="H51" s="2">
        <v>2887</v>
      </c>
      <c r="I51" s="16">
        <v>15</v>
      </c>
      <c r="J51" s="1">
        <v>44626</v>
      </c>
      <c r="K51" s="3">
        <v>8.2699999999999996E-2</v>
      </c>
      <c r="L51" s="13">
        <f t="shared" si="0"/>
        <v>3.2040006170503439</v>
      </c>
      <c r="M51" s="16">
        <f t="shared" si="1"/>
        <v>4965.6000000000004</v>
      </c>
    </row>
    <row r="52" spans="1:13" x14ac:dyDescent="0.3">
      <c r="A52">
        <v>100050</v>
      </c>
      <c r="B52" t="s">
        <v>18</v>
      </c>
      <c r="C52" t="s">
        <v>14</v>
      </c>
      <c r="D52" t="s">
        <v>12</v>
      </c>
      <c r="E52" s="1">
        <v>44612</v>
      </c>
      <c r="F52" s="4">
        <v>79322</v>
      </c>
      <c r="G52" s="4">
        <v>805572</v>
      </c>
      <c r="H52" s="2">
        <v>4879</v>
      </c>
      <c r="I52" s="16">
        <v>5</v>
      </c>
      <c r="J52" s="1">
        <v>44617</v>
      </c>
      <c r="K52" s="3">
        <v>9.8500000000000004E-2</v>
      </c>
      <c r="L52" s="13">
        <f t="shared" si="0"/>
        <v>6.0565660176868112</v>
      </c>
      <c r="M52" s="16">
        <f t="shared" si="1"/>
        <v>15864.4</v>
      </c>
    </row>
    <row r="53" spans="1:13" x14ac:dyDescent="0.3">
      <c r="A53">
        <v>100051</v>
      </c>
      <c r="B53" t="s">
        <v>18</v>
      </c>
      <c r="C53" t="s">
        <v>14</v>
      </c>
      <c r="D53" t="s">
        <v>22</v>
      </c>
      <c r="E53" s="1">
        <v>44613</v>
      </c>
      <c r="F53" s="4">
        <v>68391</v>
      </c>
      <c r="G53" s="4">
        <v>446138</v>
      </c>
      <c r="H53" s="2">
        <v>1200</v>
      </c>
      <c r="I53" s="16">
        <v>15</v>
      </c>
      <c r="J53" s="1">
        <v>44628</v>
      </c>
      <c r="K53" s="3">
        <v>0.15329999999999999</v>
      </c>
      <c r="L53" s="13">
        <f t="shared" si="0"/>
        <v>2.6897507049388305</v>
      </c>
      <c r="M53" s="16">
        <f t="shared" si="1"/>
        <v>4559.3999999999996</v>
      </c>
    </row>
    <row r="54" spans="1:13" x14ac:dyDescent="0.3">
      <c r="A54">
        <v>100052</v>
      </c>
      <c r="B54" t="s">
        <v>10</v>
      </c>
      <c r="C54" t="s">
        <v>21</v>
      </c>
      <c r="D54" t="s">
        <v>17</v>
      </c>
      <c r="E54" s="1">
        <v>44614</v>
      </c>
      <c r="F54" s="4">
        <v>92192</v>
      </c>
      <c r="G54" s="4">
        <v>570185</v>
      </c>
      <c r="H54" s="2">
        <v>4154</v>
      </c>
      <c r="I54" s="16">
        <v>12</v>
      </c>
      <c r="J54" s="1">
        <v>44626</v>
      </c>
      <c r="K54" s="3">
        <v>0.16170000000000001</v>
      </c>
      <c r="L54" s="13">
        <f t="shared" si="0"/>
        <v>7.2853547532818288</v>
      </c>
      <c r="M54" s="16">
        <f t="shared" si="1"/>
        <v>7682.666666666667</v>
      </c>
    </row>
    <row r="55" spans="1:13" x14ac:dyDescent="0.3">
      <c r="A55">
        <v>100053</v>
      </c>
      <c r="B55" t="s">
        <v>13</v>
      </c>
      <c r="C55" t="s">
        <v>23</v>
      </c>
      <c r="D55" t="s">
        <v>22</v>
      </c>
      <c r="E55" s="1">
        <v>44615</v>
      </c>
      <c r="F55" s="4">
        <v>37594</v>
      </c>
      <c r="G55" s="4">
        <v>200808</v>
      </c>
      <c r="H55" s="2">
        <v>191</v>
      </c>
      <c r="I55" s="16">
        <v>10</v>
      </c>
      <c r="J55" s="1">
        <v>44625</v>
      </c>
      <c r="K55" s="3">
        <v>0.18720000000000001</v>
      </c>
      <c r="L55" s="13">
        <f t="shared" si="0"/>
        <v>0.95115732440938605</v>
      </c>
      <c r="M55" s="16">
        <f t="shared" si="1"/>
        <v>3759.4</v>
      </c>
    </row>
    <row r="56" spans="1:13" x14ac:dyDescent="0.3">
      <c r="A56">
        <v>100054</v>
      </c>
      <c r="B56" t="s">
        <v>10</v>
      </c>
      <c r="C56" t="s">
        <v>20</v>
      </c>
      <c r="D56" t="s">
        <v>12</v>
      </c>
      <c r="E56" s="1">
        <v>44616</v>
      </c>
      <c r="F56" s="4">
        <v>47307</v>
      </c>
      <c r="G56" s="4">
        <v>714802</v>
      </c>
      <c r="H56" s="2">
        <v>1182</v>
      </c>
      <c r="I56" s="16">
        <v>10</v>
      </c>
      <c r="J56" s="1">
        <v>44626</v>
      </c>
      <c r="K56" s="3">
        <v>6.6199999999999995E-2</v>
      </c>
      <c r="L56" s="13">
        <f t="shared" si="0"/>
        <v>1.6536047744690139</v>
      </c>
      <c r="M56" s="16">
        <f t="shared" si="1"/>
        <v>4730.7</v>
      </c>
    </row>
    <row r="57" spans="1:13" x14ac:dyDescent="0.3">
      <c r="A57">
        <v>100055</v>
      </c>
      <c r="B57" t="s">
        <v>10</v>
      </c>
      <c r="C57" t="s">
        <v>21</v>
      </c>
      <c r="D57" t="s">
        <v>24</v>
      </c>
      <c r="E57" s="1">
        <v>44617</v>
      </c>
      <c r="F57" s="4">
        <v>68348</v>
      </c>
      <c r="G57" s="4">
        <v>293838</v>
      </c>
      <c r="H57" s="2">
        <v>439</v>
      </c>
      <c r="I57" s="16">
        <v>7</v>
      </c>
      <c r="J57" s="1">
        <v>44624</v>
      </c>
      <c r="K57" s="3">
        <v>0.2326</v>
      </c>
      <c r="L57" s="13">
        <f t="shared" si="0"/>
        <v>1.4940205147053818</v>
      </c>
      <c r="M57" s="16">
        <f t="shared" si="1"/>
        <v>9764</v>
      </c>
    </row>
    <row r="58" spans="1:13" x14ac:dyDescent="0.3">
      <c r="A58">
        <v>100056</v>
      </c>
      <c r="B58" t="s">
        <v>13</v>
      </c>
      <c r="C58" t="s">
        <v>23</v>
      </c>
      <c r="D58" t="s">
        <v>17</v>
      </c>
      <c r="E58" s="1">
        <v>44618</v>
      </c>
      <c r="F58" s="4">
        <v>52889</v>
      </c>
      <c r="G58" s="4">
        <v>456134</v>
      </c>
      <c r="H58" s="2">
        <v>1740</v>
      </c>
      <c r="I58" s="16">
        <v>3</v>
      </c>
      <c r="J58" s="1">
        <v>44621</v>
      </c>
      <c r="K58" s="3">
        <v>0.11600000000000001</v>
      </c>
      <c r="L58" s="13">
        <f t="shared" si="0"/>
        <v>3.8146684965382982</v>
      </c>
      <c r="M58" s="16">
        <f t="shared" si="1"/>
        <v>17629.666666666668</v>
      </c>
    </row>
    <row r="59" spans="1:13" x14ac:dyDescent="0.3">
      <c r="A59">
        <v>100057</v>
      </c>
      <c r="B59" t="s">
        <v>13</v>
      </c>
      <c r="C59" t="s">
        <v>21</v>
      </c>
      <c r="D59" t="s">
        <v>15</v>
      </c>
      <c r="E59" s="1">
        <v>44619</v>
      </c>
      <c r="F59" s="4">
        <v>33777</v>
      </c>
      <c r="G59" s="4">
        <v>85832</v>
      </c>
      <c r="H59" s="2">
        <v>2230</v>
      </c>
      <c r="I59" s="16">
        <v>14</v>
      </c>
      <c r="J59" s="1">
        <v>44633</v>
      </c>
      <c r="K59" s="3">
        <v>0.39350000000000002</v>
      </c>
      <c r="L59" s="13">
        <f t="shared" si="0"/>
        <v>25.980986112405631</v>
      </c>
      <c r="M59" s="16">
        <f t="shared" si="1"/>
        <v>2412.6428571428573</v>
      </c>
    </row>
    <row r="60" spans="1:13" x14ac:dyDescent="0.3">
      <c r="A60">
        <v>100058</v>
      </c>
      <c r="B60" t="s">
        <v>18</v>
      </c>
      <c r="C60" t="s">
        <v>14</v>
      </c>
      <c r="D60" t="s">
        <v>24</v>
      </c>
      <c r="E60" s="1">
        <v>44620</v>
      </c>
      <c r="F60" s="4">
        <v>73657</v>
      </c>
      <c r="G60" s="4">
        <v>510496</v>
      </c>
      <c r="H60" s="2">
        <v>4732</v>
      </c>
      <c r="I60" s="16">
        <v>17</v>
      </c>
      <c r="J60" s="1">
        <v>44637</v>
      </c>
      <c r="K60" s="3">
        <v>0.14430000000000001</v>
      </c>
      <c r="L60" s="13">
        <f t="shared" si="0"/>
        <v>9.2694164107064498</v>
      </c>
      <c r="M60" s="16">
        <f t="shared" si="1"/>
        <v>4332.7647058823532</v>
      </c>
    </row>
    <row r="61" spans="1:13" x14ac:dyDescent="0.3">
      <c r="A61">
        <v>100059</v>
      </c>
      <c r="B61" t="s">
        <v>18</v>
      </c>
      <c r="C61" t="s">
        <v>20</v>
      </c>
      <c r="D61" t="s">
        <v>22</v>
      </c>
      <c r="E61" s="1">
        <v>44621</v>
      </c>
      <c r="F61" s="4">
        <v>39557</v>
      </c>
      <c r="G61" s="4">
        <v>773895</v>
      </c>
      <c r="H61" s="2">
        <v>2235</v>
      </c>
      <c r="I61" s="16">
        <v>10</v>
      </c>
      <c r="J61" s="1">
        <v>44631</v>
      </c>
      <c r="K61" s="3">
        <v>5.11E-2</v>
      </c>
      <c r="L61" s="13">
        <f t="shared" si="0"/>
        <v>2.8879886806349702</v>
      </c>
      <c r="M61" s="16">
        <f t="shared" si="1"/>
        <v>3955.7</v>
      </c>
    </row>
    <row r="62" spans="1:13" x14ac:dyDescent="0.3">
      <c r="A62">
        <v>100060</v>
      </c>
      <c r="B62" t="s">
        <v>13</v>
      </c>
      <c r="C62" t="s">
        <v>14</v>
      </c>
      <c r="D62" t="s">
        <v>15</v>
      </c>
      <c r="E62" s="1">
        <v>44622</v>
      </c>
      <c r="F62" s="4">
        <v>90065</v>
      </c>
      <c r="G62" s="4">
        <v>871443</v>
      </c>
      <c r="H62" s="2">
        <v>1674</v>
      </c>
      <c r="I62" s="16">
        <v>14</v>
      </c>
      <c r="J62" s="1">
        <v>44636</v>
      </c>
      <c r="K62" s="3">
        <v>0.10340000000000001</v>
      </c>
      <c r="L62" s="13">
        <f t="shared" si="0"/>
        <v>1.9209518006341206</v>
      </c>
      <c r="M62" s="16">
        <f t="shared" si="1"/>
        <v>6433.2142857142853</v>
      </c>
    </row>
    <row r="63" spans="1:13" x14ac:dyDescent="0.3">
      <c r="A63">
        <v>100061</v>
      </c>
      <c r="B63" t="s">
        <v>13</v>
      </c>
      <c r="C63" t="s">
        <v>11</v>
      </c>
      <c r="D63" t="s">
        <v>24</v>
      </c>
      <c r="E63" s="1">
        <v>44623</v>
      </c>
      <c r="F63" s="4">
        <v>16051</v>
      </c>
      <c r="G63" s="4">
        <v>272426</v>
      </c>
      <c r="H63" s="2">
        <v>3565</v>
      </c>
      <c r="I63" s="16">
        <v>17</v>
      </c>
      <c r="J63" s="1">
        <v>44640</v>
      </c>
      <c r="K63" s="3">
        <v>5.8900000000000001E-2</v>
      </c>
      <c r="L63" s="13">
        <f t="shared" si="0"/>
        <v>13.086122469955145</v>
      </c>
      <c r="M63" s="16">
        <f t="shared" si="1"/>
        <v>944.17647058823525</v>
      </c>
    </row>
    <row r="64" spans="1:13" x14ac:dyDescent="0.3">
      <c r="A64">
        <v>100062</v>
      </c>
      <c r="B64" t="s">
        <v>13</v>
      </c>
      <c r="C64" t="s">
        <v>11</v>
      </c>
      <c r="D64" t="s">
        <v>12</v>
      </c>
      <c r="E64" s="1">
        <v>44624</v>
      </c>
      <c r="F64" s="4">
        <v>58473</v>
      </c>
      <c r="G64" s="4">
        <v>579913</v>
      </c>
      <c r="H64" s="2">
        <v>3515</v>
      </c>
      <c r="I64" s="16">
        <v>9</v>
      </c>
      <c r="J64" s="1">
        <v>44633</v>
      </c>
      <c r="K64" s="3">
        <v>0.1008</v>
      </c>
      <c r="L64" s="13">
        <f t="shared" si="0"/>
        <v>6.0612540156885597</v>
      </c>
      <c r="M64" s="16">
        <f t="shared" si="1"/>
        <v>6497</v>
      </c>
    </row>
    <row r="65" spans="1:13" x14ac:dyDescent="0.3">
      <c r="A65">
        <v>100063</v>
      </c>
      <c r="B65" t="s">
        <v>10</v>
      </c>
      <c r="C65" t="s">
        <v>14</v>
      </c>
      <c r="D65" t="s">
        <v>22</v>
      </c>
      <c r="E65" s="1">
        <v>44625</v>
      </c>
      <c r="F65" s="4">
        <v>35574</v>
      </c>
      <c r="G65" s="4">
        <v>914958</v>
      </c>
      <c r="H65" s="2">
        <v>1735</v>
      </c>
      <c r="I65" s="16">
        <v>26</v>
      </c>
      <c r="J65" s="1">
        <v>44651</v>
      </c>
      <c r="K65" s="3">
        <v>3.8899999999999997E-2</v>
      </c>
      <c r="L65" s="13">
        <f t="shared" si="0"/>
        <v>1.89626190491804</v>
      </c>
      <c r="M65" s="16">
        <f t="shared" si="1"/>
        <v>1368.2307692307693</v>
      </c>
    </row>
    <row r="66" spans="1:13" x14ac:dyDescent="0.3">
      <c r="A66">
        <v>100064</v>
      </c>
      <c r="B66" t="s">
        <v>13</v>
      </c>
      <c r="C66" t="s">
        <v>14</v>
      </c>
      <c r="D66" t="s">
        <v>15</v>
      </c>
      <c r="E66" s="1">
        <v>44626</v>
      </c>
      <c r="F66" s="4">
        <v>9817</v>
      </c>
      <c r="G66" s="4">
        <v>54246</v>
      </c>
      <c r="H66" s="2">
        <v>2163</v>
      </c>
      <c r="I66" s="16">
        <v>25</v>
      </c>
      <c r="J66" s="1">
        <v>44651</v>
      </c>
      <c r="K66" s="3">
        <v>0.18099999999999999</v>
      </c>
      <c r="L66" s="13">
        <f t="shared" ref="L66:L129" si="2">H66/G66*1000</f>
        <v>39.873907753567082</v>
      </c>
      <c r="M66" s="16">
        <f t="shared" ref="M66:M129" si="3">IFERROR(F66/I66,"No Data")</f>
        <v>392.68</v>
      </c>
    </row>
    <row r="67" spans="1:13" x14ac:dyDescent="0.3">
      <c r="A67">
        <v>100065</v>
      </c>
      <c r="B67" t="s">
        <v>13</v>
      </c>
      <c r="C67" t="s">
        <v>21</v>
      </c>
      <c r="D67" t="s">
        <v>17</v>
      </c>
      <c r="E67" s="1">
        <v>44627</v>
      </c>
      <c r="F67" s="4">
        <v>25168</v>
      </c>
      <c r="G67" s="4">
        <v>645095</v>
      </c>
      <c r="H67" s="2">
        <v>4764</v>
      </c>
      <c r="I67" s="16">
        <v>15</v>
      </c>
      <c r="J67" s="1">
        <v>44642</v>
      </c>
      <c r="K67" s="3">
        <v>3.9E-2</v>
      </c>
      <c r="L67" s="13">
        <f t="shared" si="2"/>
        <v>7.3849588045171641</v>
      </c>
      <c r="M67" s="16">
        <f t="shared" si="3"/>
        <v>1677.8666666666666</v>
      </c>
    </row>
    <row r="68" spans="1:13" x14ac:dyDescent="0.3">
      <c r="A68">
        <v>100066</v>
      </c>
      <c r="B68" t="s">
        <v>13</v>
      </c>
      <c r="C68" t="s">
        <v>25</v>
      </c>
      <c r="D68" t="s">
        <v>22</v>
      </c>
      <c r="E68" s="1">
        <v>44628</v>
      </c>
      <c r="F68" s="4">
        <v>35285</v>
      </c>
      <c r="G68" s="4">
        <v>592582</v>
      </c>
      <c r="H68" s="2">
        <v>941</v>
      </c>
      <c r="I68" s="16">
        <v>14</v>
      </c>
      <c r="J68" s="1">
        <v>44642</v>
      </c>
      <c r="K68" s="3">
        <v>5.9499999999999997E-2</v>
      </c>
      <c r="L68" s="13">
        <f t="shared" si="2"/>
        <v>1.5879658848901923</v>
      </c>
      <c r="M68" s="16">
        <f t="shared" si="3"/>
        <v>2520.3571428571427</v>
      </c>
    </row>
    <row r="69" spans="1:13" x14ac:dyDescent="0.3">
      <c r="A69">
        <v>100067</v>
      </c>
      <c r="B69" t="s">
        <v>18</v>
      </c>
      <c r="C69" t="s">
        <v>16</v>
      </c>
      <c r="D69" t="s">
        <v>24</v>
      </c>
      <c r="E69" s="1">
        <v>44629</v>
      </c>
      <c r="F69" s="4">
        <v>20821</v>
      </c>
      <c r="G69" s="4">
        <v>20266</v>
      </c>
      <c r="H69" s="2">
        <v>2303</v>
      </c>
      <c r="I69" s="16">
        <v>26</v>
      </c>
      <c r="J69" s="1">
        <v>44655</v>
      </c>
      <c r="K69" s="3">
        <v>1.0274000000000001</v>
      </c>
      <c r="L69" s="13">
        <f t="shared" si="2"/>
        <v>113.63860653310964</v>
      </c>
      <c r="M69" s="16">
        <f t="shared" si="3"/>
        <v>800.80769230769226</v>
      </c>
    </row>
    <row r="70" spans="1:13" x14ac:dyDescent="0.3">
      <c r="A70">
        <v>100068</v>
      </c>
      <c r="B70" t="s">
        <v>18</v>
      </c>
      <c r="C70" t="s">
        <v>20</v>
      </c>
      <c r="D70" t="s">
        <v>12</v>
      </c>
      <c r="E70" s="1">
        <v>44630</v>
      </c>
      <c r="F70" s="4">
        <v>14954</v>
      </c>
      <c r="G70" s="4">
        <v>694205</v>
      </c>
      <c r="H70" s="2">
        <v>1416</v>
      </c>
      <c r="I70" s="16">
        <v>8</v>
      </c>
      <c r="J70" s="1">
        <v>44638</v>
      </c>
      <c r="K70" s="3">
        <v>2.1499999999999998E-2</v>
      </c>
      <c r="L70" s="13">
        <f t="shared" si="2"/>
        <v>2.0397433034910435</v>
      </c>
      <c r="M70" s="16">
        <f t="shared" si="3"/>
        <v>1869.25</v>
      </c>
    </row>
    <row r="71" spans="1:13" x14ac:dyDescent="0.3">
      <c r="A71">
        <v>100069</v>
      </c>
      <c r="B71" t="s">
        <v>13</v>
      </c>
      <c r="C71" t="s">
        <v>25</v>
      </c>
      <c r="D71" t="s">
        <v>17</v>
      </c>
      <c r="E71" s="1">
        <v>44631</v>
      </c>
      <c r="F71" s="4">
        <v>13862</v>
      </c>
      <c r="G71" s="4">
        <v>917266</v>
      </c>
      <c r="H71" s="2">
        <v>632</v>
      </c>
      <c r="I71" s="16">
        <v>10</v>
      </c>
      <c r="J71" s="1">
        <v>44641</v>
      </c>
      <c r="K71" s="3">
        <v>1.5100000000000001E-2</v>
      </c>
      <c r="L71" s="13">
        <f t="shared" si="2"/>
        <v>0.68900406207141662</v>
      </c>
      <c r="M71" s="16">
        <f t="shared" si="3"/>
        <v>1386.2</v>
      </c>
    </row>
    <row r="72" spans="1:13" x14ac:dyDescent="0.3">
      <c r="A72">
        <v>100070</v>
      </c>
      <c r="B72" t="s">
        <v>18</v>
      </c>
      <c r="C72" t="s">
        <v>20</v>
      </c>
      <c r="D72" t="s">
        <v>12</v>
      </c>
      <c r="E72" s="1">
        <v>44632</v>
      </c>
      <c r="F72" s="4">
        <v>60577</v>
      </c>
      <c r="G72" s="4">
        <v>967742</v>
      </c>
      <c r="H72" s="2">
        <v>4136</v>
      </c>
      <c r="I72" s="16">
        <v>28</v>
      </c>
      <c r="J72" s="1">
        <v>44660</v>
      </c>
      <c r="K72" s="3">
        <v>6.2600000000000003E-2</v>
      </c>
      <c r="L72" s="13">
        <f t="shared" si="2"/>
        <v>4.2738663817422413</v>
      </c>
      <c r="M72" s="16">
        <f t="shared" si="3"/>
        <v>2163.4642857142858</v>
      </c>
    </row>
    <row r="73" spans="1:13" x14ac:dyDescent="0.3">
      <c r="A73">
        <v>100071</v>
      </c>
      <c r="B73" t="s">
        <v>13</v>
      </c>
      <c r="C73" t="s">
        <v>21</v>
      </c>
      <c r="D73" t="s">
        <v>24</v>
      </c>
      <c r="E73" s="1">
        <v>44633</v>
      </c>
      <c r="F73" s="4">
        <v>1283</v>
      </c>
      <c r="G73" s="4">
        <v>253347</v>
      </c>
      <c r="H73" s="2">
        <v>1321</v>
      </c>
      <c r="I73" s="16">
        <v>24</v>
      </c>
      <c r="J73" s="1">
        <v>44657</v>
      </c>
      <c r="K73" s="3">
        <v>5.1000000000000004E-3</v>
      </c>
      <c r="L73" s="13">
        <f t="shared" si="2"/>
        <v>5.2141923922525235</v>
      </c>
      <c r="M73" s="16">
        <f t="shared" si="3"/>
        <v>53.458333333333336</v>
      </c>
    </row>
    <row r="74" spans="1:13" x14ac:dyDescent="0.3">
      <c r="A74">
        <v>100072</v>
      </c>
      <c r="B74" t="s">
        <v>10</v>
      </c>
      <c r="C74" t="s">
        <v>20</v>
      </c>
      <c r="D74" t="s">
        <v>24</v>
      </c>
      <c r="E74" s="1">
        <v>44634</v>
      </c>
      <c r="F74" s="4">
        <v>81839</v>
      </c>
      <c r="G74" s="4">
        <v>402126</v>
      </c>
      <c r="H74" s="2">
        <v>3989</v>
      </c>
      <c r="I74" s="16">
        <v>15</v>
      </c>
      <c r="J74" s="1">
        <v>44649</v>
      </c>
      <c r="K74" s="3">
        <v>0.20349999999999999</v>
      </c>
      <c r="L74" s="13">
        <f t="shared" si="2"/>
        <v>9.9197763884951478</v>
      </c>
      <c r="M74" s="16">
        <f t="shared" si="3"/>
        <v>5455.9333333333334</v>
      </c>
    </row>
    <row r="75" spans="1:13" x14ac:dyDescent="0.3">
      <c r="A75">
        <v>100073</v>
      </c>
      <c r="B75" t="s">
        <v>18</v>
      </c>
      <c r="C75" t="s">
        <v>20</v>
      </c>
      <c r="D75" t="s">
        <v>22</v>
      </c>
      <c r="E75" s="1">
        <v>44635</v>
      </c>
      <c r="F75" s="4">
        <v>59145</v>
      </c>
      <c r="G75" s="4">
        <v>296370</v>
      </c>
      <c r="H75" s="2">
        <v>3863</v>
      </c>
      <c r="I75" s="16">
        <v>6</v>
      </c>
      <c r="J75" s="1">
        <v>44641</v>
      </c>
      <c r="K75" s="3">
        <v>0.1996</v>
      </c>
      <c r="L75" s="13">
        <f t="shared" si="2"/>
        <v>13.034382697304045</v>
      </c>
      <c r="M75" s="16">
        <f t="shared" si="3"/>
        <v>9857.5</v>
      </c>
    </row>
    <row r="76" spans="1:13" x14ac:dyDescent="0.3">
      <c r="A76">
        <v>100074</v>
      </c>
      <c r="B76" t="s">
        <v>18</v>
      </c>
      <c r="C76" t="s">
        <v>23</v>
      </c>
      <c r="D76" t="s">
        <v>22</v>
      </c>
      <c r="E76" s="1">
        <v>44636</v>
      </c>
      <c r="F76" s="4">
        <v>58854</v>
      </c>
      <c r="G76" s="4">
        <v>954193</v>
      </c>
      <c r="H76" s="2">
        <v>4775</v>
      </c>
      <c r="I76" s="16">
        <v>2</v>
      </c>
      <c r="J76" s="1">
        <v>44638</v>
      </c>
      <c r="K76" s="3">
        <v>6.1699999999999998E-2</v>
      </c>
      <c r="L76" s="13">
        <f t="shared" si="2"/>
        <v>5.0042287042558478</v>
      </c>
      <c r="M76" s="16">
        <f t="shared" si="3"/>
        <v>29427</v>
      </c>
    </row>
    <row r="77" spans="1:13" x14ac:dyDescent="0.3">
      <c r="A77">
        <v>100075</v>
      </c>
      <c r="B77" t="s">
        <v>18</v>
      </c>
      <c r="C77" t="s">
        <v>20</v>
      </c>
      <c r="D77" t="s">
        <v>22</v>
      </c>
      <c r="E77" s="1">
        <v>44637</v>
      </c>
      <c r="F77" s="4">
        <v>67907</v>
      </c>
      <c r="G77" s="4">
        <v>20559</v>
      </c>
      <c r="H77" s="2">
        <v>4249</v>
      </c>
      <c r="I77" s="16">
        <v>24</v>
      </c>
      <c r="J77" s="1">
        <v>44661</v>
      </c>
      <c r="K77" s="3">
        <v>3.3029999999999999</v>
      </c>
      <c r="L77" s="13">
        <f t="shared" si="2"/>
        <v>206.67347633639767</v>
      </c>
      <c r="M77" s="16">
        <f t="shared" si="3"/>
        <v>2829.4583333333335</v>
      </c>
    </row>
    <row r="78" spans="1:13" x14ac:dyDescent="0.3">
      <c r="A78">
        <v>100076</v>
      </c>
      <c r="B78" t="s">
        <v>18</v>
      </c>
      <c r="C78" t="s">
        <v>21</v>
      </c>
      <c r="D78" t="s">
        <v>12</v>
      </c>
      <c r="E78" s="1">
        <v>44638</v>
      </c>
      <c r="F78" s="4">
        <v>546</v>
      </c>
      <c r="G78" s="4">
        <v>706942</v>
      </c>
      <c r="H78" s="2">
        <v>4983</v>
      </c>
      <c r="I78" s="16">
        <v>4</v>
      </c>
      <c r="J78" s="1">
        <v>44642</v>
      </c>
      <c r="K78" s="3">
        <v>8.0000000000000004E-4</v>
      </c>
      <c r="L78" s="13">
        <f t="shared" si="2"/>
        <v>7.0486687733930085</v>
      </c>
      <c r="M78" s="16">
        <f t="shared" si="3"/>
        <v>136.5</v>
      </c>
    </row>
    <row r="79" spans="1:13" x14ac:dyDescent="0.3">
      <c r="A79">
        <v>100077</v>
      </c>
      <c r="B79" t="s">
        <v>13</v>
      </c>
      <c r="C79" t="s">
        <v>16</v>
      </c>
      <c r="D79" t="s">
        <v>12</v>
      </c>
      <c r="E79" s="1">
        <v>44639</v>
      </c>
      <c r="F79" s="4">
        <v>40307</v>
      </c>
      <c r="G79" s="4">
        <v>99522</v>
      </c>
      <c r="H79" s="2">
        <v>913</v>
      </c>
      <c r="I79" s="16">
        <v>19</v>
      </c>
      <c r="J79" s="1">
        <v>44658</v>
      </c>
      <c r="K79" s="3">
        <v>0.40500000000000003</v>
      </c>
      <c r="L79" s="13">
        <f t="shared" si="2"/>
        <v>9.1738510078173672</v>
      </c>
      <c r="M79" s="16">
        <f t="shared" si="3"/>
        <v>2121.4210526315787</v>
      </c>
    </row>
    <row r="80" spans="1:13" x14ac:dyDescent="0.3">
      <c r="A80">
        <v>100078</v>
      </c>
      <c r="B80" t="s">
        <v>13</v>
      </c>
      <c r="C80" t="s">
        <v>14</v>
      </c>
      <c r="D80" t="s">
        <v>15</v>
      </c>
      <c r="E80" s="1">
        <v>44640</v>
      </c>
      <c r="F80" s="4">
        <v>36062</v>
      </c>
      <c r="G80" s="4">
        <v>514556</v>
      </c>
      <c r="H80" s="2">
        <v>2687</v>
      </c>
      <c r="I80" s="16">
        <v>7</v>
      </c>
      <c r="J80" s="1">
        <v>44647</v>
      </c>
      <c r="K80" s="3">
        <v>7.0099999999999996E-2</v>
      </c>
      <c r="L80" s="13">
        <f t="shared" si="2"/>
        <v>5.2219777827874907</v>
      </c>
      <c r="M80" s="16">
        <f t="shared" si="3"/>
        <v>5151.7142857142853</v>
      </c>
    </row>
    <row r="81" spans="1:13" x14ac:dyDescent="0.3">
      <c r="A81">
        <v>100079</v>
      </c>
      <c r="B81" t="s">
        <v>10</v>
      </c>
      <c r="C81" t="s">
        <v>25</v>
      </c>
      <c r="D81" t="s">
        <v>12</v>
      </c>
      <c r="E81" s="1">
        <v>44641</v>
      </c>
      <c r="F81" s="4">
        <v>83172</v>
      </c>
      <c r="G81" s="4">
        <v>966560</v>
      </c>
      <c r="H81" s="2">
        <v>632</v>
      </c>
      <c r="I81" s="16">
        <v>3</v>
      </c>
      <c r="J81" s="1">
        <v>44644</v>
      </c>
      <c r="K81" s="3">
        <v>8.5999999999999993E-2</v>
      </c>
      <c r="L81" s="13">
        <f t="shared" si="2"/>
        <v>0.6538652540970038</v>
      </c>
      <c r="M81" s="16">
        <f t="shared" si="3"/>
        <v>27724</v>
      </c>
    </row>
    <row r="82" spans="1:13" x14ac:dyDescent="0.3">
      <c r="A82">
        <v>100080</v>
      </c>
      <c r="B82" t="s">
        <v>13</v>
      </c>
      <c r="C82" t="s">
        <v>16</v>
      </c>
      <c r="D82" t="s">
        <v>12</v>
      </c>
      <c r="E82" s="1">
        <v>44642</v>
      </c>
      <c r="F82" s="4">
        <v>44128</v>
      </c>
      <c r="G82" s="4">
        <v>862711</v>
      </c>
      <c r="H82" s="2">
        <v>974</v>
      </c>
      <c r="I82" s="16">
        <v>21</v>
      </c>
      <c r="J82" s="1">
        <v>44663</v>
      </c>
      <c r="K82" s="3">
        <v>5.1200000000000002E-2</v>
      </c>
      <c r="L82" s="13">
        <f t="shared" si="2"/>
        <v>1.1289991665806973</v>
      </c>
      <c r="M82" s="16">
        <f t="shared" si="3"/>
        <v>2101.3333333333335</v>
      </c>
    </row>
    <row r="83" spans="1:13" x14ac:dyDescent="0.3">
      <c r="A83">
        <v>100081</v>
      </c>
      <c r="B83" t="s">
        <v>13</v>
      </c>
      <c r="C83" t="s">
        <v>14</v>
      </c>
      <c r="D83" t="s">
        <v>24</v>
      </c>
      <c r="E83" s="1">
        <v>44643</v>
      </c>
      <c r="F83" s="4">
        <v>35056</v>
      </c>
      <c r="G83" s="4">
        <v>246712</v>
      </c>
      <c r="H83" s="2">
        <v>3141</v>
      </c>
      <c r="I83" s="16">
        <v>14</v>
      </c>
      <c r="J83" s="1">
        <v>44657</v>
      </c>
      <c r="K83" s="3">
        <v>0.1421</v>
      </c>
      <c r="L83" s="13">
        <f t="shared" si="2"/>
        <v>12.731443950841467</v>
      </c>
      <c r="M83" s="16">
        <f t="shared" si="3"/>
        <v>2504</v>
      </c>
    </row>
    <row r="84" spans="1:13" x14ac:dyDescent="0.3">
      <c r="A84">
        <v>100082</v>
      </c>
      <c r="B84" t="s">
        <v>10</v>
      </c>
      <c r="C84" t="s">
        <v>23</v>
      </c>
      <c r="D84" t="s">
        <v>22</v>
      </c>
      <c r="E84" s="1">
        <v>44644</v>
      </c>
      <c r="F84" s="4">
        <v>62613</v>
      </c>
      <c r="G84" s="4">
        <v>63546</v>
      </c>
      <c r="H84" s="2">
        <v>588</v>
      </c>
      <c r="I84" s="16">
        <v>26</v>
      </c>
      <c r="J84" s="1">
        <v>44670</v>
      </c>
      <c r="K84" s="3">
        <v>0.98529999999999995</v>
      </c>
      <c r="L84" s="13">
        <f t="shared" si="2"/>
        <v>9.2531394580304038</v>
      </c>
      <c r="M84" s="16">
        <f t="shared" si="3"/>
        <v>2408.1923076923076</v>
      </c>
    </row>
    <row r="85" spans="1:13" x14ac:dyDescent="0.3">
      <c r="A85">
        <v>100083</v>
      </c>
      <c r="B85" t="s">
        <v>18</v>
      </c>
      <c r="C85" t="s">
        <v>21</v>
      </c>
      <c r="D85" t="s">
        <v>17</v>
      </c>
      <c r="E85" s="1">
        <v>44645</v>
      </c>
      <c r="F85" s="4">
        <v>14424</v>
      </c>
      <c r="G85" s="4">
        <v>765026</v>
      </c>
      <c r="H85" s="2">
        <v>3459</v>
      </c>
      <c r="I85" s="16">
        <v>26</v>
      </c>
      <c r="J85" s="1">
        <v>44671</v>
      </c>
      <c r="K85" s="3">
        <v>1.89E-2</v>
      </c>
      <c r="L85" s="13">
        <f t="shared" si="2"/>
        <v>4.5214149584458569</v>
      </c>
      <c r="M85" s="16">
        <f t="shared" si="3"/>
        <v>554.76923076923072</v>
      </c>
    </row>
    <row r="86" spans="1:13" x14ac:dyDescent="0.3">
      <c r="A86">
        <v>100084</v>
      </c>
      <c r="B86" t="s">
        <v>18</v>
      </c>
      <c r="C86" t="s">
        <v>20</v>
      </c>
      <c r="D86" t="s">
        <v>15</v>
      </c>
      <c r="E86" s="1">
        <v>44646</v>
      </c>
      <c r="F86" s="4">
        <v>12046</v>
      </c>
      <c r="G86" s="4">
        <v>271294</v>
      </c>
      <c r="H86" s="2">
        <v>125</v>
      </c>
      <c r="I86" s="16">
        <v>9</v>
      </c>
      <c r="J86" s="1">
        <v>44655</v>
      </c>
      <c r="K86" s="3">
        <v>4.4400000000000002E-2</v>
      </c>
      <c r="L86" s="13">
        <f t="shared" si="2"/>
        <v>0.46075475314603348</v>
      </c>
      <c r="M86" s="16">
        <f t="shared" si="3"/>
        <v>1338.4444444444443</v>
      </c>
    </row>
    <row r="87" spans="1:13" x14ac:dyDescent="0.3">
      <c r="A87">
        <v>100085</v>
      </c>
      <c r="B87" t="s">
        <v>18</v>
      </c>
      <c r="C87" t="s">
        <v>21</v>
      </c>
      <c r="D87" t="s">
        <v>15</v>
      </c>
      <c r="E87" s="1">
        <v>44647</v>
      </c>
      <c r="F87" s="4">
        <v>80889</v>
      </c>
      <c r="G87" s="4">
        <v>745299</v>
      </c>
      <c r="H87" s="2">
        <v>3313</v>
      </c>
      <c r="I87" s="16">
        <v>7</v>
      </c>
      <c r="J87" s="1">
        <v>44654</v>
      </c>
      <c r="K87" s="3">
        <v>0.1085</v>
      </c>
      <c r="L87" s="13">
        <f t="shared" si="2"/>
        <v>4.4451958207377169</v>
      </c>
      <c r="M87" s="16">
        <f t="shared" si="3"/>
        <v>11555.571428571429</v>
      </c>
    </row>
    <row r="88" spans="1:13" x14ac:dyDescent="0.3">
      <c r="A88">
        <v>100086</v>
      </c>
      <c r="B88" t="s">
        <v>10</v>
      </c>
      <c r="C88" t="s">
        <v>23</v>
      </c>
      <c r="D88" t="s">
        <v>15</v>
      </c>
      <c r="E88" s="1">
        <v>44648</v>
      </c>
      <c r="F88" s="4">
        <v>50173</v>
      </c>
      <c r="G88" s="4">
        <v>124085</v>
      </c>
      <c r="H88" s="2">
        <v>3188</v>
      </c>
      <c r="I88" s="16">
        <v>26</v>
      </c>
      <c r="J88" s="1">
        <v>44674</v>
      </c>
      <c r="K88" s="3">
        <v>0.40429999999999999</v>
      </c>
      <c r="L88" s="13">
        <f t="shared" si="2"/>
        <v>25.692065922553091</v>
      </c>
      <c r="M88" s="16">
        <f t="shared" si="3"/>
        <v>1929.7307692307693</v>
      </c>
    </row>
    <row r="89" spans="1:13" x14ac:dyDescent="0.3">
      <c r="A89">
        <v>100087</v>
      </c>
      <c r="B89" t="s">
        <v>13</v>
      </c>
      <c r="C89" t="s">
        <v>25</v>
      </c>
      <c r="D89" t="s">
        <v>22</v>
      </c>
      <c r="E89" s="1">
        <v>44649</v>
      </c>
      <c r="F89" s="4">
        <v>60999</v>
      </c>
      <c r="G89" s="4">
        <v>373067</v>
      </c>
      <c r="H89" s="2">
        <v>3862</v>
      </c>
      <c r="I89" s="16">
        <v>18</v>
      </c>
      <c r="J89" s="1">
        <v>44667</v>
      </c>
      <c r="K89" s="3">
        <v>0.16350000000000001</v>
      </c>
      <c r="L89" s="13">
        <f t="shared" si="2"/>
        <v>10.352027919917871</v>
      </c>
      <c r="M89" s="16">
        <f t="shared" si="3"/>
        <v>3388.8333333333335</v>
      </c>
    </row>
    <row r="90" spans="1:13" x14ac:dyDescent="0.3">
      <c r="A90">
        <v>100088</v>
      </c>
      <c r="B90" t="s">
        <v>18</v>
      </c>
      <c r="C90" t="s">
        <v>14</v>
      </c>
      <c r="D90" t="s">
        <v>15</v>
      </c>
      <c r="E90" s="1">
        <v>44650</v>
      </c>
      <c r="F90" s="4">
        <v>22050</v>
      </c>
      <c r="G90" s="4">
        <v>887799</v>
      </c>
      <c r="H90" s="2">
        <v>3933</v>
      </c>
      <c r="I90" s="16">
        <v>24</v>
      </c>
      <c r="J90" s="1">
        <v>44674</v>
      </c>
      <c r="K90" s="3">
        <v>2.4799999999999999E-2</v>
      </c>
      <c r="L90" s="13">
        <f t="shared" si="2"/>
        <v>4.4300568033980667</v>
      </c>
      <c r="M90" s="16">
        <f t="shared" si="3"/>
        <v>918.75</v>
      </c>
    </row>
    <row r="91" spans="1:13" x14ac:dyDescent="0.3">
      <c r="A91">
        <v>100089</v>
      </c>
      <c r="B91" t="s">
        <v>13</v>
      </c>
      <c r="C91" t="s">
        <v>23</v>
      </c>
      <c r="D91" t="s">
        <v>15</v>
      </c>
      <c r="E91" s="1">
        <v>44651</v>
      </c>
      <c r="F91" s="4">
        <v>21563</v>
      </c>
      <c r="G91" s="4">
        <v>132334</v>
      </c>
      <c r="H91" s="2">
        <v>4015</v>
      </c>
      <c r="I91" s="16">
        <v>4</v>
      </c>
      <c r="J91" s="1">
        <v>44655</v>
      </c>
      <c r="K91" s="3">
        <v>0.16289999999999999</v>
      </c>
      <c r="L91" s="13">
        <f t="shared" si="2"/>
        <v>30.339897532002357</v>
      </c>
      <c r="M91" s="16">
        <f t="shared" si="3"/>
        <v>5390.75</v>
      </c>
    </row>
    <row r="92" spans="1:13" x14ac:dyDescent="0.3">
      <c r="A92">
        <v>100090</v>
      </c>
      <c r="B92" t="s">
        <v>18</v>
      </c>
      <c r="C92" t="s">
        <v>16</v>
      </c>
      <c r="D92" t="s">
        <v>17</v>
      </c>
      <c r="E92" s="1">
        <v>44652</v>
      </c>
      <c r="F92" s="4">
        <v>79681</v>
      </c>
      <c r="G92" s="4">
        <v>683092</v>
      </c>
      <c r="H92" s="2">
        <v>1737</v>
      </c>
      <c r="I92" s="16">
        <v>11</v>
      </c>
      <c r="J92" s="1">
        <v>44663</v>
      </c>
      <c r="K92" s="3">
        <v>0.1166</v>
      </c>
      <c r="L92" s="13">
        <f t="shared" si="2"/>
        <v>2.5428492794528408</v>
      </c>
      <c r="M92" s="16">
        <f t="shared" si="3"/>
        <v>7243.727272727273</v>
      </c>
    </row>
    <row r="93" spans="1:13" x14ac:dyDescent="0.3">
      <c r="A93">
        <v>100091</v>
      </c>
      <c r="B93" t="s">
        <v>13</v>
      </c>
      <c r="C93" t="s">
        <v>11</v>
      </c>
      <c r="D93" t="s">
        <v>12</v>
      </c>
      <c r="E93" s="1">
        <v>44653</v>
      </c>
      <c r="F93" s="4">
        <v>96799</v>
      </c>
      <c r="G93" s="4">
        <v>943218</v>
      </c>
      <c r="H93" s="2">
        <v>4148</v>
      </c>
      <c r="I93" s="16">
        <v>25</v>
      </c>
      <c r="J93" s="1">
        <v>44678</v>
      </c>
      <c r="K93" s="3">
        <v>0.1026</v>
      </c>
      <c r="L93" s="13">
        <f t="shared" si="2"/>
        <v>4.3977108155272697</v>
      </c>
      <c r="M93" s="16">
        <f t="shared" si="3"/>
        <v>3871.96</v>
      </c>
    </row>
    <row r="94" spans="1:13" x14ac:dyDescent="0.3">
      <c r="A94">
        <v>100092</v>
      </c>
      <c r="B94" t="s">
        <v>13</v>
      </c>
      <c r="C94" t="s">
        <v>21</v>
      </c>
      <c r="D94" t="s">
        <v>24</v>
      </c>
      <c r="E94" s="1">
        <v>44654</v>
      </c>
      <c r="F94" s="4">
        <v>98154</v>
      </c>
      <c r="G94" s="4">
        <v>262533</v>
      </c>
      <c r="H94" s="2">
        <v>413</v>
      </c>
      <c r="I94" s="16">
        <v>5</v>
      </c>
      <c r="J94" s="1">
        <v>44659</v>
      </c>
      <c r="K94" s="3">
        <v>0.37390000000000001</v>
      </c>
      <c r="L94" s="13">
        <f t="shared" si="2"/>
        <v>1.5731355677191057</v>
      </c>
      <c r="M94" s="16">
        <f t="shared" si="3"/>
        <v>19630.8</v>
      </c>
    </row>
    <row r="95" spans="1:13" x14ac:dyDescent="0.3">
      <c r="A95">
        <v>100093</v>
      </c>
      <c r="B95" t="s">
        <v>18</v>
      </c>
      <c r="C95" t="s">
        <v>21</v>
      </c>
      <c r="D95" t="s">
        <v>17</v>
      </c>
      <c r="E95" s="1">
        <v>44655</v>
      </c>
      <c r="F95" s="4">
        <v>79052</v>
      </c>
      <c r="G95" s="4">
        <v>301115</v>
      </c>
      <c r="H95" s="2">
        <v>86</v>
      </c>
      <c r="I95" s="16">
        <v>23</v>
      </c>
      <c r="J95" s="1">
        <v>44678</v>
      </c>
      <c r="K95" s="3">
        <v>0.26250000000000001</v>
      </c>
      <c r="L95" s="13">
        <f t="shared" si="2"/>
        <v>0.28560516746093684</v>
      </c>
      <c r="M95" s="16">
        <f t="shared" si="3"/>
        <v>3437.0434782608695</v>
      </c>
    </row>
    <row r="96" spans="1:13" x14ac:dyDescent="0.3">
      <c r="A96">
        <v>100094</v>
      </c>
      <c r="B96" t="s">
        <v>18</v>
      </c>
      <c r="C96" t="s">
        <v>14</v>
      </c>
      <c r="D96" t="s">
        <v>22</v>
      </c>
      <c r="E96" s="1">
        <v>44656</v>
      </c>
      <c r="F96" s="4">
        <v>36067</v>
      </c>
      <c r="G96" s="4">
        <v>542774</v>
      </c>
      <c r="H96" s="2">
        <v>1810</v>
      </c>
      <c r="I96" s="16">
        <v>16</v>
      </c>
      <c r="J96" s="1">
        <v>44672</v>
      </c>
      <c r="K96" s="3">
        <v>6.6400000000000001E-2</v>
      </c>
      <c r="L96" s="13">
        <f t="shared" si="2"/>
        <v>3.3347212652043021</v>
      </c>
      <c r="M96" s="16">
        <f t="shared" si="3"/>
        <v>2254.1875</v>
      </c>
    </row>
    <row r="97" spans="1:13" x14ac:dyDescent="0.3">
      <c r="A97">
        <v>100095</v>
      </c>
      <c r="B97" t="s">
        <v>13</v>
      </c>
      <c r="C97" t="s">
        <v>14</v>
      </c>
      <c r="D97" t="s">
        <v>22</v>
      </c>
      <c r="E97" s="1">
        <v>44657</v>
      </c>
      <c r="F97" s="4">
        <v>19670</v>
      </c>
      <c r="G97" s="4">
        <v>299556</v>
      </c>
      <c r="H97" s="2">
        <v>741</v>
      </c>
      <c r="I97" s="16">
        <v>1</v>
      </c>
      <c r="J97" s="1">
        <v>44658</v>
      </c>
      <c r="K97" s="3">
        <v>6.5699999999999995E-2</v>
      </c>
      <c r="L97" s="13">
        <f t="shared" si="2"/>
        <v>2.4736610183070944</v>
      </c>
      <c r="M97" s="16">
        <f t="shared" si="3"/>
        <v>19670</v>
      </c>
    </row>
    <row r="98" spans="1:13" x14ac:dyDescent="0.3">
      <c r="A98">
        <v>100096</v>
      </c>
      <c r="B98" t="s">
        <v>18</v>
      </c>
      <c r="C98" t="s">
        <v>14</v>
      </c>
      <c r="D98" t="s">
        <v>24</v>
      </c>
      <c r="E98" s="1">
        <v>44658</v>
      </c>
      <c r="F98" s="4">
        <v>73939</v>
      </c>
      <c r="G98" s="4">
        <v>645587</v>
      </c>
      <c r="H98" s="2">
        <v>3946</v>
      </c>
      <c r="I98" s="16">
        <v>25</v>
      </c>
      <c r="J98" s="1">
        <v>44683</v>
      </c>
      <c r="K98" s="3">
        <v>0.1145</v>
      </c>
      <c r="L98" s="13">
        <f t="shared" si="2"/>
        <v>6.1122668207383359</v>
      </c>
      <c r="M98" s="16">
        <f t="shared" si="3"/>
        <v>2957.56</v>
      </c>
    </row>
    <row r="99" spans="1:13" x14ac:dyDescent="0.3">
      <c r="A99">
        <v>100097</v>
      </c>
      <c r="B99" t="s">
        <v>18</v>
      </c>
      <c r="C99" t="s">
        <v>16</v>
      </c>
      <c r="D99" t="s">
        <v>12</v>
      </c>
      <c r="E99" s="1">
        <v>44659</v>
      </c>
      <c r="F99" s="4">
        <v>732</v>
      </c>
      <c r="G99" s="4">
        <v>396542</v>
      </c>
      <c r="H99" s="2">
        <v>2299</v>
      </c>
      <c r="I99" s="16">
        <v>1</v>
      </c>
      <c r="J99" s="1">
        <v>44660</v>
      </c>
      <c r="K99" s="3">
        <v>1.8E-3</v>
      </c>
      <c r="L99" s="13">
        <f t="shared" si="2"/>
        <v>5.7976204286052928</v>
      </c>
      <c r="M99" s="16">
        <f t="shared" si="3"/>
        <v>732</v>
      </c>
    </row>
    <row r="100" spans="1:13" x14ac:dyDescent="0.3">
      <c r="A100">
        <v>100098</v>
      </c>
      <c r="B100" t="s">
        <v>18</v>
      </c>
      <c r="C100" t="s">
        <v>25</v>
      </c>
      <c r="D100" t="s">
        <v>17</v>
      </c>
      <c r="E100" s="1">
        <v>44660</v>
      </c>
      <c r="F100" s="4">
        <v>35084</v>
      </c>
      <c r="G100" s="4">
        <v>792744</v>
      </c>
      <c r="H100" s="2">
        <v>3170</v>
      </c>
      <c r="I100" s="16">
        <v>6</v>
      </c>
      <c r="J100" s="1">
        <v>44666</v>
      </c>
      <c r="K100" s="3">
        <v>4.4299999999999999E-2</v>
      </c>
      <c r="L100" s="13">
        <f t="shared" si="2"/>
        <v>3.9987688333181963</v>
      </c>
      <c r="M100" s="16">
        <f t="shared" si="3"/>
        <v>5847.333333333333</v>
      </c>
    </row>
    <row r="101" spans="1:13" x14ac:dyDescent="0.3">
      <c r="A101">
        <v>100099</v>
      </c>
      <c r="B101" t="s">
        <v>19</v>
      </c>
      <c r="C101" t="s">
        <v>20</v>
      </c>
      <c r="D101" t="s">
        <v>15</v>
      </c>
      <c r="E101" s="1">
        <v>44661</v>
      </c>
      <c r="F101" s="4">
        <v>20282</v>
      </c>
      <c r="G101" s="4">
        <v>842018</v>
      </c>
      <c r="H101" s="2">
        <v>390</v>
      </c>
      <c r="I101" s="16">
        <v>2</v>
      </c>
      <c r="J101" s="1">
        <v>44663</v>
      </c>
      <c r="K101" s="3">
        <v>2.41E-2</v>
      </c>
      <c r="L101" s="13">
        <f t="shared" si="2"/>
        <v>0.46317299630174175</v>
      </c>
      <c r="M101" s="16">
        <f t="shared" si="3"/>
        <v>10141</v>
      </c>
    </row>
    <row r="102" spans="1:13" x14ac:dyDescent="0.3">
      <c r="A102">
        <v>100100</v>
      </c>
      <c r="B102" t="s">
        <v>19</v>
      </c>
      <c r="C102" t="s">
        <v>16</v>
      </c>
      <c r="D102" t="s">
        <v>17</v>
      </c>
      <c r="E102" s="1">
        <v>44662</v>
      </c>
      <c r="F102" s="4">
        <v>20391</v>
      </c>
      <c r="G102" s="4">
        <v>28608</v>
      </c>
      <c r="H102" s="2">
        <v>4131</v>
      </c>
      <c r="I102" s="16">
        <v>2</v>
      </c>
      <c r="J102" s="1">
        <v>44664</v>
      </c>
      <c r="K102" s="3">
        <v>0.71279999999999999</v>
      </c>
      <c r="L102" s="13">
        <f t="shared" si="2"/>
        <v>144.40016778523491</v>
      </c>
      <c r="M102" s="16">
        <f t="shared" si="3"/>
        <v>10195.5</v>
      </c>
    </row>
    <row r="103" spans="1:13" x14ac:dyDescent="0.3">
      <c r="A103">
        <v>100101</v>
      </c>
      <c r="B103" t="s">
        <v>13</v>
      </c>
      <c r="C103" t="s">
        <v>14</v>
      </c>
      <c r="D103" t="s">
        <v>24</v>
      </c>
      <c r="E103" s="1">
        <v>44663</v>
      </c>
      <c r="F103" s="4">
        <v>95236</v>
      </c>
      <c r="G103" s="4">
        <v>677630</v>
      </c>
      <c r="H103" s="2">
        <v>4290</v>
      </c>
      <c r="I103" s="16">
        <v>15</v>
      </c>
      <c r="J103" s="1">
        <v>44678</v>
      </c>
      <c r="K103" s="3">
        <v>0.14050000000000001</v>
      </c>
      <c r="L103" s="13">
        <f t="shared" si="2"/>
        <v>6.3308885379927098</v>
      </c>
      <c r="M103" s="16">
        <f t="shared" si="3"/>
        <v>6349.0666666666666</v>
      </c>
    </row>
    <row r="104" spans="1:13" x14ac:dyDescent="0.3">
      <c r="A104">
        <v>100102</v>
      </c>
      <c r="B104" t="s">
        <v>18</v>
      </c>
      <c r="C104" t="s">
        <v>25</v>
      </c>
      <c r="D104" t="s">
        <v>17</v>
      </c>
      <c r="E104" s="1">
        <v>44664</v>
      </c>
      <c r="F104" s="4">
        <v>3271</v>
      </c>
      <c r="G104" s="4">
        <v>851811</v>
      </c>
      <c r="H104" s="2">
        <v>226</v>
      </c>
      <c r="I104" s="16">
        <v>5</v>
      </c>
      <c r="J104" s="1">
        <v>44669</v>
      </c>
      <c r="K104" s="3">
        <v>3.8E-3</v>
      </c>
      <c r="L104" s="13">
        <f t="shared" si="2"/>
        <v>0.26531707150999456</v>
      </c>
      <c r="M104" s="16">
        <f t="shared" si="3"/>
        <v>654.20000000000005</v>
      </c>
    </row>
    <row r="105" spans="1:13" x14ac:dyDescent="0.3">
      <c r="A105">
        <v>100103</v>
      </c>
      <c r="B105" t="s">
        <v>19</v>
      </c>
      <c r="C105" t="s">
        <v>25</v>
      </c>
      <c r="D105" t="s">
        <v>24</v>
      </c>
      <c r="E105" s="1">
        <v>44665</v>
      </c>
      <c r="F105" s="4">
        <v>9199</v>
      </c>
      <c r="G105" s="4">
        <v>583288</v>
      </c>
      <c r="H105" s="2">
        <v>2352</v>
      </c>
      <c r="I105" s="16">
        <v>29</v>
      </c>
      <c r="J105" s="1">
        <v>44694</v>
      </c>
      <c r="K105" s="3">
        <v>1.5800000000000002E-2</v>
      </c>
      <c r="L105" s="13">
        <f t="shared" si="2"/>
        <v>4.032313368353198</v>
      </c>
      <c r="M105" s="16">
        <f t="shared" si="3"/>
        <v>317.20689655172413</v>
      </c>
    </row>
    <row r="106" spans="1:13" x14ac:dyDescent="0.3">
      <c r="A106">
        <v>100104</v>
      </c>
      <c r="B106" t="s">
        <v>10</v>
      </c>
      <c r="C106" t="s">
        <v>20</v>
      </c>
      <c r="D106" t="s">
        <v>22</v>
      </c>
      <c r="E106" s="1">
        <v>44666</v>
      </c>
      <c r="F106" s="4">
        <v>3274</v>
      </c>
      <c r="G106" s="4">
        <v>408103</v>
      </c>
      <c r="H106" s="2">
        <v>4454</v>
      </c>
      <c r="I106" s="16">
        <v>29</v>
      </c>
      <c r="J106" s="1">
        <v>44695</v>
      </c>
      <c r="K106" s="3">
        <v>8.0000000000000002E-3</v>
      </c>
      <c r="L106" s="13">
        <f t="shared" si="2"/>
        <v>10.913911439023972</v>
      </c>
      <c r="M106" s="16">
        <f t="shared" si="3"/>
        <v>112.89655172413794</v>
      </c>
    </row>
    <row r="107" spans="1:13" x14ac:dyDescent="0.3">
      <c r="A107">
        <v>100105</v>
      </c>
      <c r="B107" t="s">
        <v>10</v>
      </c>
      <c r="C107" t="s">
        <v>23</v>
      </c>
      <c r="D107" t="s">
        <v>17</v>
      </c>
      <c r="E107" s="1">
        <v>44667</v>
      </c>
      <c r="F107" s="4">
        <v>53947</v>
      </c>
      <c r="G107" s="4">
        <v>507079</v>
      </c>
      <c r="H107" s="2">
        <v>105</v>
      </c>
      <c r="I107" s="16">
        <v>23</v>
      </c>
      <c r="J107" s="1">
        <v>44690</v>
      </c>
      <c r="K107" s="3">
        <v>0.10639999999999999</v>
      </c>
      <c r="L107" s="13">
        <f t="shared" si="2"/>
        <v>0.2070683266315505</v>
      </c>
      <c r="M107" s="16">
        <f t="shared" si="3"/>
        <v>2345.521739130435</v>
      </c>
    </row>
    <row r="108" spans="1:13" x14ac:dyDescent="0.3">
      <c r="A108">
        <v>100106</v>
      </c>
      <c r="B108" t="s">
        <v>13</v>
      </c>
      <c r="C108" t="s">
        <v>14</v>
      </c>
      <c r="D108" t="s">
        <v>17</v>
      </c>
      <c r="E108" s="1">
        <v>44668</v>
      </c>
      <c r="F108" s="4">
        <v>78470</v>
      </c>
      <c r="G108" s="4">
        <v>301569</v>
      </c>
      <c r="H108" s="2">
        <v>1084</v>
      </c>
      <c r="I108" s="16">
        <v>15</v>
      </c>
      <c r="J108" s="1">
        <v>44683</v>
      </c>
      <c r="K108" s="3">
        <v>0.26019999999999999</v>
      </c>
      <c r="L108" s="13">
        <f t="shared" si="2"/>
        <v>3.5945339209268856</v>
      </c>
      <c r="M108" s="16">
        <f t="shared" si="3"/>
        <v>5231.333333333333</v>
      </c>
    </row>
    <row r="109" spans="1:13" x14ac:dyDescent="0.3">
      <c r="A109">
        <v>100107</v>
      </c>
      <c r="B109" t="s">
        <v>18</v>
      </c>
      <c r="C109" t="s">
        <v>20</v>
      </c>
      <c r="D109" t="s">
        <v>15</v>
      </c>
      <c r="E109" s="1">
        <v>44669</v>
      </c>
      <c r="F109" s="4">
        <v>5648</v>
      </c>
      <c r="G109" s="4">
        <v>261544</v>
      </c>
      <c r="H109" s="2">
        <v>256</v>
      </c>
      <c r="I109" s="16">
        <v>24</v>
      </c>
      <c r="J109" s="1">
        <v>44687</v>
      </c>
      <c r="K109" s="3">
        <v>2.1600000000000001E-2</v>
      </c>
      <c r="L109" s="13">
        <f t="shared" si="2"/>
        <v>0.97880280182302026</v>
      </c>
      <c r="M109" s="16">
        <f t="shared" si="3"/>
        <v>235.33333333333334</v>
      </c>
    </row>
    <row r="110" spans="1:13" x14ac:dyDescent="0.3">
      <c r="A110">
        <v>100108</v>
      </c>
      <c r="B110" t="s">
        <v>18</v>
      </c>
      <c r="C110" t="s">
        <v>14</v>
      </c>
      <c r="D110" t="s">
        <v>17</v>
      </c>
      <c r="E110" s="1">
        <v>44670</v>
      </c>
      <c r="F110" s="4">
        <v>94160</v>
      </c>
      <c r="G110" s="4">
        <v>398210</v>
      </c>
      <c r="H110" s="2">
        <v>3156</v>
      </c>
      <c r="I110" s="16">
        <v>23</v>
      </c>
      <c r="J110" s="1">
        <v>44693</v>
      </c>
      <c r="K110" s="3">
        <v>0.23649999999999999</v>
      </c>
      <c r="L110" s="13">
        <f t="shared" si="2"/>
        <v>7.9254664624193261</v>
      </c>
      <c r="M110" s="16">
        <f t="shared" si="3"/>
        <v>4093.913043478261</v>
      </c>
    </row>
    <row r="111" spans="1:13" x14ac:dyDescent="0.3">
      <c r="A111">
        <v>100109</v>
      </c>
      <c r="B111" t="s">
        <v>19</v>
      </c>
      <c r="C111" t="s">
        <v>14</v>
      </c>
      <c r="D111" t="s">
        <v>17</v>
      </c>
      <c r="E111" s="1">
        <v>44671</v>
      </c>
      <c r="F111" s="4">
        <v>96502</v>
      </c>
      <c r="G111" s="4">
        <v>72882</v>
      </c>
      <c r="H111" s="2">
        <v>891</v>
      </c>
      <c r="I111" s="16">
        <v>22</v>
      </c>
      <c r="J111" s="1">
        <v>44693</v>
      </c>
      <c r="K111" s="3">
        <v>1.3241000000000001</v>
      </c>
      <c r="L111" s="13">
        <f t="shared" si="2"/>
        <v>12.225240800197581</v>
      </c>
      <c r="M111" s="16">
        <f t="shared" si="3"/>
        <v>4386.454545454545</v>
      </c>
    </row>
    <row r="112" spans="1:13" x14ac:dyDescent="0.3">
      <c r="A112">
        <v>100110</v>
      </c>
      <c r="B112" t="s">
        <v>13</v>
      </c>
      <c r="C112" t="s">
        <v>23</v>
      </c>
      <c r="D112" t="s">
        <v>22</v>
      </c>
      <c r="E112" s="1">
        <v>44672</v>
      </c>
      <c r="F112" s="4">
        <v>13046</v>
      </c>
      <c r="G112" s="4">
        <v>738786</v>
      </c>
      <c r="H112" s="2">
        <v>1193</v>
      </c>
      <c r="I112" s="16">
        <v>3</v>
      </c>
      <c r="J112" s="1">
        <v>44675</v>
      </c>
      <c r="K112" s="3">
        <v>1.77E-2</v>
      </c>
      <c r="L112" s="13">
        <f t="shared" si="2"/>
        <v>1.6148113256071446</v>
      </c>
      <c r="M112" s="16">
        <f t="shared" si="3"/>
        <v>4348.666666666667</v>
      </c>
    </row>
    <row r="113" spans="1:13" x14ac:dyDescent="0.3">
      <c r="A113">
        <v>100111</v>
      </c>
      <c r="B113" t="s">
        <v>18</v>
      </c>
      <c r="C113" t="s">
        <v>25</v>
      </c>
      <c r="D113" t="s">
        <v>12</v>
      </c>
      <c r="E113" s="1">
        <v>44673</v>
      </c>
      <c r="F113" s="4">
        <v>22169</v>
      </c>
      <c r="G113" s="4">
        <v>307019</v>
      </c>
      <c r="H113" s="2">
        <v>4477</v>
      </c>
      <c r="I113" s="16">
        <v>2</v>
      </c>
      <c r="J113" s="1">
        <v>44675</v>
      </c>
      <c r="K113" s="3">
        <v>7.22E-2</v>
      </c>
      <c r="L113" s="13">
        <f t="shared" si="2"/>
        <v>14.582159410329655</v>
      </c>
      <c r="M113" s="16">
        <f t="shared" si="3"/>
        <v>11084.5</v>
      </c>
    </row>
    <row r="114" spans="1:13" x14ac:dyDescent="0.3">
      <c r="A114">
        <v>100112</v>
      </c>
      <c r="B114" t="s">
        <v>18</v>
      </c>
      <c r="C114" t="s">
        <v>21</v>
      </c>
      <c r="D114" t="s">
        <v>17</v>
      </c>
      <c r="E114" s="1">
        <v>44674</v>
      </c>
      <c r="F114" s="4">
        <v>38884</v>
      </c>
      <c r="G114" s="4">
        <v>642465</v>
      </c>
      <c r="H114" s="2">
        <v>3860</v>
      </c>
      <c r="I114" s="16">
        <v>3</v>
      </c>
      <c r="J114" s="1">
        <v>44677</v>
      </c>
      <c r="K114" s="3">
        <v>6.0499999999999998E-2</v>
      </c>
      <c r="L114" s="13">
        <f t="shared" si="2"/>
        <v>6.0081093911730603</v>
      </c>
      <c r="M114" s="16">
        <f t="shared" si="3"/>
        <v>12961.333333333334</v>
      </c>
    </row>
    <row r="115" spans="1:13" x14ac:dyDescent="0.3">
      <c r="A115">
        <v>100113</v>
      </c>
      <c r="B115" t="s">
        <v>13</v>
      </c>
      <c r="C115" t="s">
        <v>16</v>
      </c>
      <c r="D115" t="s">
        <v>15</v>
      </c>
      <c r="E115" s="1">
        <v>44675</v>
      </c>
      <c r="F115" s="4">
        <v>26444</v>
      </c>
      <c r="G115" s="4">
        <v>293480</v>
      </c>
      <c r="H115" s="2">
        <v>978</v>
      </c>
      <c r="I115" s="16">
        <v>22</v>
      </c>
      <c r="J115" s="1">
        <v>44697</v>
      </c>
      <c r="K115" s="3">
        <v>9.01E-2</v>
      </c>
      <c r="L115" s="13">
        <f t="shared" si="2"/>
        <v>3.3324246967425379</v>
      </c>
      <c r="M115" s="16">
        <f t="shared" si="3"/>
        <v>1202</v>
      </c>
    </row>
    <row r="116" spans="1:13" x14ac:dyDescent="0.3">
      <c r="A116">
        <v>100114</v>
      </c>
      <c r="B116" t="s">
        <v>18</v>
      </c>
      <c r="C116" t="s">
        <v>16</v>
      </c>
      <c r="D116" t="s">
        <v>24</v>
      </c>
      <c r="E116" s="1">
        <v>44676</v>
      </c>
      <c r="F116" s="4">
        <v>77597</v>
      </c>
      <c r="G116" s="4">
        <v>3432</v>
      </c>
      <c r="H116" s="2">
        <v>4321</v>
      </c>
      <c r="I116" s="16">
        <v>27</v>
      </c>
      <c r="J116" s="1">
        <v>44703</v>
      </c>
      <c r="K116" s="3">
        <v>22.6098</v>
      </c>
      <c r="L116" s="13">
        <f t="shared" si="2"/>
        <v>1259.0326340326342</v>
      </c>
      <c r="M116" s="16">
        <f t="shared" si="3"/>
        <v>2873.962962962963</v>
      </c>
    </row>
    <row r="117" spans="1:13" x14ac:dyDescent="0.3">
      <c r="A117">
        <v>100115</v>
      </c>
      <c r="B117" t="s">
        <v>10</v>
      </c>
      <c r="C117" t="s">
        <v>16</v>
      </c>
      <c r="D117" t="s">
        <v>17</v>
      </c>
      <c r="E117" s="1">
        <v>44677</v>
      </c>
      <c r="F117" s="4">
        <v>82376</v>
      </c>
      <c r="G117" s="4">
        <v>749141</v>
      </c>
      <c r="H117" s="2">
        <v>73</v>
      </c>
      <c r="I117" s="16">
        <v>20</v>
      </c>
      <c r="J117" s="1">
        <v>44697</v>
      </c>
      <c r="K117" s="3">
        <v>0.11</v>
      </c>
      <c r="L117" s="13">
        <f t="shared" si="2"/>
        <v>9.7444940271591063E-2</v>
      </c>
      <c r="M117" s="16">
        <f t="shared" si="3"/>
        <v>4118.8</v>
      </c>
    </row>
    <row r="118" spans="1:13" x14ac:dyDescent="0.3">
      <c r="A118">
        <v>100116</v>
      </c>
      <c r="B118" t="s">
        <v>10</v>
      </c>
      <c r="C118" t="s">
        <v>21</v>
      </c>
      <c r="D118" t="s">
        <v>17</v>
      </c>
      <c r="E118" s="1">
        <v>44678</v>
      </c>
      <c r="F118" s="4">
        <v>76710</v>
      </c>
      <c r="G118" s="4">
        <v>954399</v>
      </c>
      <c r="H118" s="2">
        <v>3098</v>
      </c>
      <c r="I118" s="16">
        <v>29</v>
      </c>
      <c r="J118" s="1">
        <v>44707</v>
      </c>
      <c r="K118" s="3">
        <v>8.0399999999999999E-2</v>
      </c>
      <c r="L118" s="13">
        <f t="shared" si="2"/>
        <v>3.2460218420178566</v>
      </c>
      <c r="M118" s="16">
        <f t="shared" si="3"/>
        <v>2645.1724137931033</v>
      </c>
    </row>
    <row r="119" spans="1:13" x14ac:dyDescent="0.3">
      <c r="A119">
        <v>100117</v>
      </c>
      <c r="B119" t="s">
        <v>10</v>
      </c>
      <c r="C119" t="s">
        <v>11</v>
      </c>
      <c r="D119" t="s">
        <v>15</v>
      </c>
      <c r="E119" s="1">
        <v>44679</v>
      </c>
      <c r="F119" s="4">
        <v>42809</v>
      </c>
      <c r="G119" s="4">
        <v>225396</v>
      </c>
      <c r="H119" s="2">
        <v>4877</v>
      </c>
      <c r="I119" s="16">
        <v>3</v>
      </c>
      <c r="J119" s="1">
        <v>44682</v>
      </c>
      <c r="K119" s="3">
        <v>0.18990000000000001</v>
      </c>
      <c r="L119" s="13">
        <f t="shared" si="2"/>
        <v>21.637473602016009</v>
      </c>
      <c r="M119" s="16">
        <f t="shared" si="3"/>
        <v>14269.666666666666</v>
      </c>
    </row>
    <row r="120" spans="1:13" x14ac:dyDescent="0.3">
      <c r="A120">
        <v>100118</v>
      </c>
      <c r="B120" t="s">
        <v>13</v>
      </c>
      <c r="C120" t="s">
        <v>14</v>
      </c>
      <c r="D120" t="s">
        <v>12</v>
      </c>
      <c r="E120" s="1">
        <v>44680</v>
      </c>
      <c r="F120" s="4">
        <v>88590</v>
      </c>
      <c r="G120" s="4">
        <v>21663</v>
      </c>
      <c r="H120" s="2">
        <v>559</v>
      </c>
      <c r="I120" s="16">
        <v>2</v>
      </c>
      <c r="J120" s="1">
        <v>44682</v>
      </c>
      <c r="K120" s="3">
        <v>4.0895000000000001</v>
      </c>
      <c r="L120" s="13">
        <f t="shared" si="2"/>
        <v>25.804366892858791</v>
      </c>
      <c r="M120" s="16">
        <f t="shared" si="3"/>
        <v>44295</v>
      </c>
    </row>
    <row r="121" spans="1:13" x14ac:dyDescent="0.3">
      <c r="A121">
        <v>100119</v>
      </c>
      <c r="B121" t="s">
        <v>13</v>
      </c>
      <c r="C121" t="s">
        <v>25</v>
      </c>
      <c r="D121" t="s">
        <v>24</v>
      </c>
      <c r="E121" s="1">
        <v>44681</v>
      </c>
      <c r="F121" s="4">
        <v>6793</v>
      </c>
      <c r="G121" s="4">
        <v>64476</v>
      </c>
      <c r="H121" s="2">
        <v>3283</v>
      </c>
      <c r="I121" s="16">
        <v>29</v>
      </c>
      <c r="J121" s="1">
        <v>44710</v>
      </c>
      <c r="K121" s="3">
        <v>0.10539999999999999</v>
      </c>
      <c r="L121" s="13">
        <f t="shared" si="2"/>
        <v>50.91817110242571</v>
      </c>
      <c r="M121" s="16">
        <f t="shared" si="3"/>
        <v>234.24137931034483</v>
      </c>
    </row>
    <row r="122" spans="1:13" x14ac:dyDescent="0.3">
      <c r="A122">
        <v>100120</v>
      </c>
      <c r="B122" t="s">
        <v>13</v>
      </c>
      <c r="C122" t="s">
        <v>11</v>
      </c>
      <c r="D122" t="s">
        <v>22</v>
      </c>
      <c r="E122" s="1">
        <v>44682</v>
      </c>
      <c r="F122" s="4">
        <v>87175</v>
      </c>
      <c r="G122" s="4">
        <v>178177</v>
      </c>
      <c r="H122" s="2">
        <v>3371</v>
      </c>
      <c r="I122" s="16">
        <v>16</v>
      </c>
      <c r="J122" s="1">
        <v>44698</v>
      </c>
      <c r="K122" s="3">
        <v>0.48930000000000001</v>
      </c>
      <c r="L122" s="13">
        <f t="shared" si="2"/>
        <v>18.919389146747335</v>
      </c>
      <c r="M122" s="16">
        <f t="shared" si="3"/>
        <v>5448.4375</v>
      </c>
    </row>
    <row r="123" spans="1:13" x14ac:dyDescent="0.3">
      <c r="A123">
        <v>100121</v>
      </c>
      <c r="B123" t="s">
        <v>13</v>
      </c>
      <c r="C123" t="s">
        <v>11</v>
      </c>
      <c r="D123" t="s">
        <v>22</v>
      </c>
      <c r="E123" s="1">
        <v>44683</v>
      </c>
      <c r="F123" s="4">
        <v>60722</v>
      </c>
      <c r="G123" s="4">
        <v>838775</v>
      </c>
      <c r="H123" s="2">
        <v>248</v>
      </c>
      <c r="I123" s="16">
        <v>10</v>
      </c>
      <c r="J123" s="1">
        <v>44693</v>
      </c>
      <c r="K123" s="3">
        <v>7.2400000000000006E-2</v>
      </c>
      <c r="L123" s="13">
        <f t="shared" si="2"/>
        <v>0.29566927960418465</v>
      </c>
      <c r="M123" s="16">
        <f t="shared" si="3"/>
        <v>6072.2</v>
      </c>
    </row>
    <row r="124" spans="1:13" x14ac:dyDescent="0.3">
      <c r="A124">
        <v>100122</v>
      </c>
      <c r="B124" t="s">
        <v>18</v>
      </c>
      <c r="C124" t="s">
        <v>16</v>
      </c>
      <c r="D124" t="s">
        <v>24</v>
      </c>
      <c r="E124" s="1">
        <v>44684</v>
      </c>
      <c r="F124" s="4">
        <v>53738</v>
      </c>
      <c r="G124" s="4">
        <v>723951</v>
      </c>
      <c r="H124" s="2">
        <v>1855</v>
      </c>
      <c r="I124" s="16">
        <v>22</v>
      </c>
      <c r="J124" s="1">
        <v>44706</v>
      </c>
      <c r="K124" s="3">
        <v>7.4200000000000002E-2</v>
      </c>
      <c r="L124" s="13">
        <f t="shared" si="2"/>
        <v>2.5623281133667888</v>
      </c>
      <c r="M124" s="16">
        <f t="shared" si="3"/>
        <v>2442.6363636363635</v>
      </c>
    </row>
    <row r="125" spans="1:13" x14ac:dyDescent="0.3">
      <c r="A125">
        <v>100123</v>
      </c>
      <c r="B125" t="s">
        <v>13</v>
      </c>
      <c r="C125" t="s">
        <v>14</v>
      </c>
      <c r="D125" t="s">
        <v>24</v>
      </c>
      <c r="E125" s="1">
        <v>44685</v>
      </c>
      <c r="F125" s="4">
        <v>89356</v>
      </c>
      <c r="G125" s="4">
        <v>956081</v>
      </c>
      <c r="H125" s="2">
        <v>2373</v>
      </c>
      <c r="I125" s="16">
        <v>27</v>
      </c>
      <c r="J125" s="1">
        <v>44712</v>
      </c>
      <c r="K125" s="3">
        <v>9.35E-2</v>
      </c>
      <c r="L125" s="13">
        <f t="shared" si="2"/>
        <v>2.4820072776260589</v>
      </c>
      <c r="M125" s="16">
        <f t="shared" si="3"/>
        <v>3309.4814814814813</v>
      </c>
    </row>
    <row r="126" spans="1:13" x14ac:dyDescent="0.3">
      <c r="A126">
        <v>100124</v>
      </c>
      <c r="B126" t="s">
        <v>18</v>
      </c>
      <c r="C126" t="s">
        <v>11</v>
      </c>
      <c r="D126" t="s">
        <v>12</v>
      </c>
      <c r="E126" s="1">
        <v>44686</v>
      </c>
      <c r="F126" s="4">
        <v>99357</v>
      </c>
      <c r="G126" s="4">
        <v>958664</v>
      </c>
      <c r="H126" s="2">
        <v>607</v>
      </c>
      <c r="I126" s="16">
        <v>28</v>
      </c>
      <c r="J126" s="1">
        <v>44714</v>
      </c>
      <c r="K126" s="3">
        <v>0.1036</v>
      </c>
      <c r="L126" s="13">
        <f t="shared" si="2"/>
        <v>0.63317283219146647</v>
      </c>
      <c r="M126" s="16">
        <f t="shared" si="3"/>
        <v>3548.4642857142858</v>
      </c>
    </row>
    <row r="127" spans="1:13" x14ac:dyDescent="0.3">
      <c r="A127">
        <v>100125</v>
      </c>
      <c r="B127" t="s">
        <v>13</v>
      </c>
      <c r="C127" t="s">
        <v>25</v>
      </c>
      <c r="D127" t="s">
        <v>17</v>
      </c>
      <c r="E127" s="1">
        <v>44687</v>
      </c>
      <c r="F127" s="4">
        <v>32820</v>
      </c>
      <c r="G127" s="4">
        <v>627719</v>
      </c>
      <c r="H127" s="2">
        <v>1211</v>
      </c>
      <c r="I127" s="16">
        <v>27</v>
      </c>
      <c r="J127" s="1">
        <v>44714</v>
      </c>
      <c r="K127" s="3">
        <v>5.2299999999999999E-2</v>
      </c>
      <c r="L127" s="13">
        <f t="shared" si="2"/>
        <v>1.9292071770967583</v>
      </c>
      <c r="M127" s="16">
        <f t="shared" si="3"/>
        <v>1215.5555555555557</v>
      </c>
    </row>
    <row r="128" spans="1:13" x14ac:dyDescent="0.3">
      <c r="A128">
        <v>100126</v>
      </c>
      <c r="B128" t="s">
        <v>18</v>
      </c>
      <c r="C128" t="s">
        <v>16</v>
      </c>
      <c r="D128" t="s">
        <v>15</v>
      </c>
      <c r="E128" s="1">
        <v>44688</v>
      </c>
      <c r="F128" s="4">
        <v>52163</v>
      </c>
      <c r="G128" s="4">
        <v>305713</v>
      </c>
      <c r="H128" s="2">
        <v>4520</v>
      </c>
      <c r="I128" s="16">
        <v>23</v>
      </c>
      <c r="J128" s="1">
        <v>44711</v>
      </c>
      <c r="K128" s="3">
        <v>0.1706</v>
      </c>
      <c r="L128" s="13">
        <f t="shared" si="2"/>
        <v>14.785108909336534</v>
      </c>
      <c r="M128" s="16">
        <f t="shared" si="3"/>
        <v>2267.9565217391305</v>
      </c>
    </row>
    <row r="129" spans="1:13" x14ac:dyDescent="0.3">
      <c r="A129">
        <v>100127</v>
      </c>
      <c r="B129" t="s">
        <v>18</v>
      </c>
      <c r="C129" t="s">
        <v>20</v>
      </c>
      <c r="D129" t="s">
        <v>15</v>
      </c>
      <c r="E129" s="1">
        <v>44689</v>
      </c>
      <c r="F129" s="4">
        <v>38333</v>
      </c>
      <c r="G129" s="4">
        <v>156332</v>
      </c>
      <c r="H129" s="2">
        <v>3394</v>
      </c>
      <c r="I129" s="16">
        <v>8</v>
      </c>
      <c r="J129" s="1">
        <v>44697</v>
      </c>
      <c r="K129" s="3">
        <v>0.2452</v>
      </c>
      <c r="L129" s="13">
        <f t="shared" si="2"/>
        <v>21.710206483637386</v>
      </c>
      <c r="M129" s="16">
        <f t="shared" si="3"/>
        <v>4791.625</v>
      </c>
    </row>
    <row r="130" spans="1:13" x14ac:dyDescent="0.3">
      <c r="A130">
        <v>100128</v>
      </c>
      <c r="B130" t="s">
        <v>18</v>
      </c>
      <c r="C130" t="s">
        <v>11</v>
      </c>
      <c r="D130" t="s">
        <v>17</v>
      </c>
      <c r="E130" s="1">
        <v>44690</v>
      </c>
      <c r="F130" s="4">
        <v>20172</v>
      </c>
      <c r="G130" s="4">
        <v>722186</v>
      </c>
      <c r="H130" s="2">
        <v>923</v>
      </c>
      <c r="I130" s="16">
        <v>23</v>
      </c>
      <c r="J130" s="1">
        <v>44713</v>
      </c>
      <c r="K130" s="3">
        <v>2.7900000000000001E-2</v>
      </c>
      <c r="L130" s="13">
        <f t="shared" ref="L130:L193" si="4">H130/G130*1000</f>
        <v>1.2780640998302375</v>
      </c>
      <c r="M130" s="16">
        <f t="shared" ref="M130:M193" si="5">IFERROR(F130/I130,"No Data")</f>
        <v>877.04347826086962</v>
      </c>
    </row>
    <row r="131" spans="1:13" x14ac:dyDescent="0.3">
      <c r="A131">
        <v>100129</v>
      </c>
      <c r="B131" t="s">
        <v>13</v>
      </c>
      <c r="C131" t="s">
        <v>25</v>
      </c>
      <c r="D131" t="s">
        <v>22</v>
      </c>
      <c r="E131" s="1">
        <v>44691</v>
      </c>
      <c r="F131" s="4">
        <v>29556</v>
      </c>
      <c r="G131" s="4">
        <v>473989</v>
      </c>
      <c r="H131" s="2">
        <v>3825</v>
      </c>
      <c r="I131" s="16">
        <v>2</v>
      </c>
      <c r="J131" s="1">
        <v>44693</v>
      </c>
      <c r="K131" s="3">
        <v>6.2399999999999997E-2</v>
      </c>
      <c r="L131" s="13">
        <f t="shared" si="4"/>
        <v>8.0698075271789005</v>
      </c>
      <c r="M131" s="16">
        <f t="shared" si="5"/>
        <v>14778</v>
      </c>
    </row>
    <row r="132" spans="1:13" x14ac:dyDescent="0.3">
      <c r="A132">
        <v>100130</v>
      </c>
      <c r="B132" t="s">
        <v>18</v>
      </c>
      <c r="C132" t="s">
        <v>23</v>
      </c>
      <c r="D132" t="s">
        <v>12</v>
      </c>
      <c r="E132" s="1">
        <v>44692</v>
      </c>
      <c r="F132" s="4">
        <v>79731</v>
      </c>
      <c r="G132" s="4">
        <v>66162</v>
      </c>
      <c r="H132" s="2">
        <v>4922</v>
      </c>
      <c r="I132" s="16">
        <v>14</v>
      </c>
      <c r="J132" s="1">
        <v>44706</v>
      </c>
      <c r="K132" s="3">
        <v>1.2051000000000001</v>
      </c>
      <c r="L132" s="13">
        <f t="shared" si="4"/>
        <v>74.393156192376281</v>
      </c>
      <c r="M132" s="16">
        <f t="shared" si="5"/>
        <v>5695.0714285714284</v>
      </c>
    </row>
    <row r="133" spans="1:13" x14ac:dyDescent="0.3">
      <c r="A133">
        <v>100131</v>
      </c>
      <c r="B133" t="s">
        <v>19</v>
      </c>
      <c r="C133" t="s">
        <v>14</v>
      </c>
      <c r="D133" t="s">
        <v>22</v>
      </c>
      <c r="E133" s="1">
        <v>44693</v>
      </c>
      <c r="F133" s="4">
        <v>80601</v>
      </c>
      <c r="G133" s="4">
        <v>71798</v>
      </c>
      <c r="H133" s="2">
        <v>1833</v>
      </c>
      <c r="I133" s="16">
        <v>6</v>
      </c>
      <c r="J133" s="1">
        <v>44699</v>
      </c>
      <c r="K133" s="3">
        <v>1.1226</v>
      </c>
      <c r="L133" s="13">
        <f t="shared" si="4"/>
        <v>25.529959051784171</v>
      </c>
      <c r="M133" s="16">
        <f t="shared" si="5"/>
        <v>13433.5</v>
      </c>
    </row>
    <row r="134" spans="1:13" x14ac:dyDescent="0.3">
      <c r="A134">
        <v>100132</v>
      </c>
      <c r="B134" t="s">
        <v>13</v>
      </c>
      <c r="C134" t="s">
        <v>14</v>
      </c>
      <c r="D134" t="s">
        <v>22</v>
      </c>
      <c r="E134" s="1">
        <v>44694</v>
      </c>
      <c r="F134" s="4">
        <v>72957</v>
      </c>
      <c r="G134" s="4">
        <v>618852</v>
      </c>
      <c r="H134" s="2">
        <v>1938</v>
      </c>
      <c r="I134" s="16">
        <v>5</v>
      </c>
      <c r="J134" s="1">
        <v>44699</v>
      </c>
      <c r="K134" s="3">
        <v>0.1179</v>
      </c>
      <c r="L134" s="13">
        <f t="shared" si="4"/>
        <v>3.1316049717864689</v>
      </c>
      <c r="M134" s="16">
        <f t="shared" si="5"/>
        <v>14591.4</v>
      </c>
    </row>
    <row r="135" spans="1:13" x14ac:dyDescent="0.3">
      <c r="A135">
        <v>100133</v>
      </c>
      <c r="B135" t="s">
        <v>18</v>
      </c>
      <c r="C135" t="s">
        <v>25</v>
      </c>
      <c r="D135" t="s">
        <v>24</v>
      </c>
      <c r="E135" s="1">
        <v>44695</v>
      </c>
      <c r="F135" s="4">
        <v>47967</v>
      </c>
      <c r="G135" s="4">
        <v>670002</v>
      </c>
      <c r="H135" s="2">
        <v>1575</v>
      </c>
      <c r="I135" s="16">
        <v>10</v>
      </c>
      <c r="J135" s="1">
        <v>44705</v>
      </c>
      <c r="K135" s="3">
        <v>7.1599999999999997E-2</v>
      </c>
      <c r="L135" s="13">
        <f t="shared" si="4"/>
        <v>2.3507392515246224</v>
      </c>
      <c r="M135" s="16">
        <f t="shared" si="5"/>
        <v>4796.7</v>
      </c>
    </row>
    <row r="136" spans="1:13" x14ac:dyDescent="0.3">
      <c r="A136">
        <v>100134</v>
      </c>
      <c r="B136" t="s">
        <v>13</v>
      </c>
      <c r="C136" t="s">
        <v>14</v>
      </c>
      <c r="D136" t="s">
        <v>15</v>
      </c>
      <c r="E136" s="1">
        <v>44696</v>
      </c>
      <c r="F136" s="4">
        <v>82189</v>
      </c>
      <c r="G136" s="4">
        <v>220943</v>
      </c>
      <c r="H136" s="2">
        <v>3501</v>
      </c>
      <c r="I136" s="16">
        <v>3</v>
      </c>
      <c r="J136" s="1">
        <v>44699</v>
      </c>
      <c r="K136" s="3">
        <v>0.372</v>
      </c>
      <c r="L136" s="13">
        <f t="shared" si="4"/>
        <v>15.845715863367474</v>
      </c>
      <c r="M136" s="16">
        <f t="shared" si="5"/>
        <v>27396.333333333332</v>
      </c>
    </row>
    <row r="137" spans="1:13" x14ac:dyDescent="0.3">
      <c r="A137">
        <v>100135</v>
      </c>
      <c r="B137" t="s">
        <v>18</v>
      </c>
      <c r="C137" t="s">
        <v>23</v>
      </c>
      <c r="D137" t="s">
        <v>22</v>
      </c>
      <c r="E137" s="1">
        <v>44697</v>
      </c>
      <c r="F137" s="4">
        <v>54965</v>
      </c>
      <c r="G137" s="4">
        <v>331179</v>
      </c>
      <c r="H137" s="2">
        <v>4152</v>
      </c>
      <c r="I137" s="16">
        <v>2</v>
      </c>
      <c r="J137" s="1">
        <v>44699</v>
      </c>
      <c r="K137" s="3">
        <v>0.16600000000000001</v>
      </c>
      <c r="L137" s="13">
        <f t="shared" si="4"/>
        <v>12.537026804235778</v>
      </c>
      <c r="M137" s="16">
        <f t="shared" si="5"/>
        <v>27482.5</v>
      </c>
    </row>
    <row r="138" spans="1:13" x14ac:dyDescent="0.3">
      <c r="A138">
        <v>100136</v>
      </c>
      <c r="B138" t="s">
        <v>19</v>
      </c>
      <c r="C138" t="s">
        <v>21</v>
      </c>
      <c r="D138" t="s">
        <v>12</v>
      </c>
      <c r="E138" s="1">
        <v>44698</v>
      </c>
      <c r="F138" s="4">
        <v>12342</v>
      </c>
      <c r="G138" s="4">
        <v>120893</v>
      </c>
      <c r="H138" s="2">
        <v>3250</v>
      </c>
      <c r="I138" s="16">
        <v>22</v>
      </c>
      <c r="J138" s="1">
        <v>44720</v>
      </c>
      <c r="K138" s="3">
        <v>0.1021</v>
      </c>
      <c r="L138" s="13">
        <f t="shared" si="4"/>
        <v>26.883276947383223</v>
      </c>
      <c r="M138" s="16">
        <f t="shared" si="5"/>
        <v>561</v>
      </c>
    </row>
    <row r="139" spans="1:13" x14ac:dyDescent="0.3">
      <c r="A139">
        <v>100137</v>
      </c>
      <c r="B139" t="s">
        <v>13</v>
      </c>
      <c r="C139" t="s">
        <v>11</v>
      </c>
      <c r="D139" t="s">
        <v>15</v>
      </c>
      <c r="E139" s="1">
        <v>44699</v>
      </c>
      <c r="F139" s="4">
        <v>76631</v>
      </c>
      <c r="G139" s="4">
        <v>926767</v>
      </c>
      <c r="H139" s="2">
        <v>2678</v>
      </c>
      <c r="I139" s="16">
        <v>27</v>
      </c>
      <c r="J139" s="1">
        <v>44726</v>
      </c>
      <c r="K139" s="3">
        <v>8.2699999999999996E-2</v>
      </c>
      <c r="L139" s="13">
        <f t="shared" si="4"/>
        <v>2.8896151891467867</v>
      </c>
      <c r="M139" s="16">
        <f t="shared" si="5"/>
        <v>2838.1851851851852</v>
      </c>
    </row>
    <row r="140" spans="1:13" x14ac:dyDescent="0.3">
      <c r="A140">
        <v>100138</v>
      </c>
      <c r="B140" t="s">
        <v>10</v>
      </c>
      <c r="C140" t="s">
        <v>11</v>
      </c>
      <c r="D140" t="s">
        <v>24</v>
      </c>
      <c r="E140" s="1">
        <v>44700</v>
      </c>
      <c r="F140" s="4">
        <v>67121</v>
      </c>
      <c r="G140" s="4">
        <v>124644</v>
      </c>
      <c r="H140" s="2">
        <v>922</v>
      </c>
      <c r="I140" s="16">
        <v>11</v>
      </c>
      <c r="J140" s="1">
        <v>44711</v>
      </c>
      <c r="K140" s="3">
        <v>0.53849999999999998</v>
      </c>
      <c r="L140" s="13">
        <f t="shared" si="4"/>
        <v>7.3970668463784861</v>
      </c>
      <c r="M140" s="16">
        <f t="shared" si="5"/>
        <v>6101.909090909091</v>
      </c>
    </row>
    <row r="141" spans="1:13" x14ac:dyDescent="0.3">
      <c r="A141">
        <v>100139</v>
      </c>
      <c r="B141" t="s">
        <v>18</v>
      </c>
      <c r="C141" t="s">
        <v>16</v>
      </c>
      <c r="D141" t="s">
        <v>12</v>
      </c>
      <c r="E141" s="1">
        <v>44701</v>
      </c>
      <c r="F141" s="4">
        <v>33853</v>
      </c>
      <c r="G141" s="4">
        <v>508137</v>
      </c>
      <c r="H141" s="2">
        <v>1107</v>
      </c>
      <c r="I141" s="16">
        <v>2</v>
      </c>
      <c r="J141" s="1">
        <v>44703</v>
      </c>
      <c r="K141" s="3">
        <v>6.6600000000000006E-2</v>
      </c>
      <c r="L141" s="13">
        <f t="shared" si="4"/>
        <v>2.1785463369130764</v>
      </c>
      <c r="M141" s="16">
        <f t="shared" si="5"/>
        <v>16926.5</v>
      </c>
    </row>
    <row r="142" spans="1:13" x14ac:dyDescent="0.3">
      <c r="A142">
        <v>100140</v>
      </c>
      <c r="B142" t="s">
        <v>13</v>
      </c>
      <c r="C142" t="s">
        <v>14</v>
      </c>
      <c r="D142" t="s">
        <v>15</v>
      </c>
      <c r="E142" s="1">
        <v>44702</v>
      </c>
      <c r="F142" s="4">
        <v>69473</v>
      </c>
      <c r="G142" s="4">
        <v>521689</v>
      </c>
      <c r="H142" s="2">
        <v>1858</v>
      </c>
      <c r="I142" s="16">
        <v>14</v>
      </c>
      <c r="J142" s="1">
        <v>44716</v>
      </c>
      <c r="K142" s="3">
        <v>0.13320000000000001</v>
      </c>
      <c r="L142" s="13">
        <f t="shared" si="4"/>
        <v>3.5615088683104301</v>
      </c>
      <c r="M142" s="16">
        <f t="shared" si="5"/>
        <v>4962.3571428571431</v>
      </c>
    </row>
    <row r="143" spans="1:13" x14ac:dyDescent="0.3">
      <c r="A143">
        <v>100141</v>
      </c>
      <c r="B143" t="s">
        <v>13</v>
      </c>
      <c r="C143" t="s">
        <v>21</v>
      </c>
      <c r="D143" t="s">
        <v>22</v>
      </c>
      <c r="E143" s="1">
        <v>44703</v>
      </c>
      <c r="F143" s="4">
        <v>47358</v>
      </c>
      <c r="G143" s="4">
        <v>425137</v>
      </c>
      <c r="H143" s="2">
        <v>4559</v>
      </c>
      <c r="I143" s="16">
        <v>14</v>
      </c>
      <c r="J143" s="1">
        <v>44717</v>
      </c>
      <c r="K143" s="3">
        <v>0.1114</v>
      </c>
      <c r="L143" s="13">
        <f t="shared" si="4"/>
        <v>10.723602038872174</v>
      </c>
      <c r="M143" s="16">
        <f t="shared" si="5"/>
        <v>3382.7142857142858</v>
      </c>
    </row>
    <row r="144" spans="1:13" x14ac:dyDescent="0.3">
      <c r="A144">
        <v>100142</v>
      </c>
      <c r="B144" t="s">
        <v>19</v>
      </c>
      <c r="C144" t="s">
        <v>11</v>
      </c>
      <c r="D144" t="s">
        <v>15</v>
      </c>
      <c r="E144" s="1">
        <v>44704</v>
      </c>
      <c r="F144" s="4">
        <v>41519</v>
      </c>
      <c r="G144" s="4">
        <v>605437</v>
      </c>
      <c r="H144" s="2">
        <v>3526</v>
      </c>
      <c r="I144" s="16">
        <v>13</v>
      </c>
      <c r="J144" s="1">
        <v>44717</v>
      </c>
      <c r="K144" s="3">
        <v>6.8599999999999994E-2</v>
      </c>
      <c r="L144" s="13">
        <f t="shared" si="4"/>
        <v>5.823892494181889</v>
      </c>
      <c r="M144" s="16">
        <f t="shared" si="5"/>
        <v>3193.7692307692309</v>
      </c>
    </row>
    <row r="145" spans="1:13" x14ac:dyDescent="0.3">
      <c r="A145">
        <v>100143</v>
      </c>
      <c r="B145" t="s">
        <v>13</v>
      </c>
      <c r="C145" t="s">
        <v>20</v>
      </c>
      <c r="D145" t="s">
        <v>12</v>
      </c>
      <c r="E145" s="1">
        <v>44705</v>
      </c>
      <c r="F145" s="4">
        <v>32146</v>
      </c>
      <c r="G145" s="4">
        <v>184608</v>
      </c>
      <c r="H145" s="2">
        <v>3105</v>
      </c>
      <c r="I145" s="16">
        <v>17</v>
      </c>
      <c r="J145" s="1">
        <v>44722</v>
      </c>
      <c r="K145" s="3">
        <v>0.1741</v>
      </c>
      <c r="L145" s="13">
        <f t="shared" si="4"/>
        <v>16.819422776911079</v>
      </c>
      <c r="M145" s="16">
        <f t="shared" si="5"/>
        <v>1890.9411764705883</v>
      </c>
    </row>
    <row r="146" spans="1:13" x14ac:dyDescent="0.3">
      <c r="A146">
        <v>100144</v>
      </c>
      <c r="B146" t="s">
        <v>13</v>
      </c>
      <c r="C146" t="s">
        <v>11</v>
      </c>
      <c r="D146" t="s">
        <v>17</v>
      </c>
      <c r="E146" s="1">
        <v>44706</v>
      </c>
      <c r="F146" s="4">
        <v>11672</v>
      </c>
      <c r="G146" s="4">
        <v>976241</v>
      </c>
      <c r="H146" s="2">
        <v>2650</v>
      </c>
      <c r="I146" s="16">
        <v>12</v>
      </c>
      <c r="J146" s="1">
        <v>44718</v>
      </c>
      <c r="K146" s="3">
        <v>1.2E-2</v>
      </c>
      <c r="L146" s="13">
        <f t="shared" si="4"/>
        <v>2.7144936547430398</v>
      </c>
      <c r="M146" s="16">
        <f t="shared" si="5"/>
        <v>972.66666666666663</v>
      </c>
    </row>
    <row r="147" spans="1:13" x14ac:dyDescent="0.3">
      <c r="A147">
        <v>100145</v>
      </c>
      <c r="B147" t="s">
        <v>18</v>
      </c>
      <c r="C147" t="s">
        <v>23</v>
      </c>
      <c r="D147" t="s">
        <v>24</v>
      </c>
      <c r="E147" s="1">
        <v>44707</v>
      </c>
      <c r="F147" s="4">
        <v>60284</v>
      </c>
      <c r="G147" s="4">
        <v>214132</v>
      </c>
      <c r="H147" s="2">
        <v>4994</v>
      </c>
      <c r="I147" s="16">
        <v>25</v>
      </c>
      <c r="J147" s="1">
        <v>44732</v>
      </c>
      <c r="K147" s="3">
        <v>0.28149999999999997</v>
      </c>
      <c r="L147" s="13">
        <f t="shared" si="4"/>
        <v>23.322063026544374</v>
      </c>
      <c r="M147" s="16">
        <f t="shared" si="5"/>
        <v>2411.36</v>
      </c>
    </row>
    <row r="148" spans="1:13" x14ac:dyDescent="0.3">
      <c r="A148">
        <v>100146</v>
      </c>
      <c r="B148" t="s">
        <v>18</v>
      </c>
      <c r="C148" t="s">
        <v>14</v>
      </c>
      <c r="D148" t="s">
        <v>12</v>
      </c>
      <c r="E148" s="1">
        <v>44708</v>
      </c>
      <c r="F148" s="4">
        <v>42016</v>
      </c>
      <c r="G148" s="4">
        <v>736295</v>
      </c>
      <c r="H148" s="2">
        <v>4074</v>
      </c>
      <c r="I148" s="16">
        <v>14</v>
      </c>
      <c r="J148" s="1">
        <v>44722</v>
      </c>
      <c r="K148" s="3">
        <v>5.7099999999999998E-2</v>
      </c>
      <c r="L148" s="13">
        <f t="shared" si="4"/>
        <v>5.5331083329372053</v>
      </c>
      <c r="M148" s="16">
        <f t="shared" si="5"/>
        <v>3001.1428571428573</v>
      </c>
    </row>
    <row r="149" spans="1:13" x14ac:dyDescent="0.3">
      <c r="A149">
        <v>100147</v>
      </c>
      <c r="B149" t="s">
        <v>13</v>
      </c>
      <c r="C149" t="s">
        <v>14</v>
      </c>
      <c r="D149" t="s">
        <v>24</v>
      </c>
      <c r="E149" s="1">
        <v>44709</v>
      </c>
      <c r="F149" s="4">
        <v>77632</v>
      </c>
      <c r="G149" s="4">
        <v>294778</v>
      </c>
      <c r="H149" s="2">
        <v>4533</v>
      </c>
      <c r="I149" s="16">
        <v>12</v>
      </c>
      <c r="J149" s="1">
        <v>44721</v>
      </c>
      <c r="K149" s="3">
        <v>0.26340000000000002</v>
      </c>
      <c r="L149" s="13">
        <f t="shared" si="4"/>
        <v>15.377674046231402</v>
      </c>
      <c r="M149" s="16">
        <f t="shared" si="5"/>
        <v>6469.333333333333</v>
      </c>
    </row>
    <row r="150" spans="1:13" x14ac:dyDescent="0.3">
      <c r="A150">
        <v>100148</v>
      </c>
      <c r="B150" t="s">
        <v>13</v>
      </c>
      <c r="C150" t="s">
        <v>25</v>
      </c>
      <c r="D150" t="s">
        <v>17</v>
      </c>
      <c r="E150" s="1">
        <v>44710</v>
      </c>
      <c r="F150" s="4">
        <v>26076</v>
      </c>
      <c r="G150" s="4">
        <v>72827</v>
      </c>
      <c r="H150" s="2">
        <v>2222</v>
      </c>
      <c r="I150" s="16">
        <v>18</v>
      </c>
      <c r="J150" s="1">
        <v>44728</v>
      </c>
      <c r="K150" s="3">
        <v>0.35809999999999997</v>
      </c>
      <c r="L150" s="13">
        <f t="shared" si="4"/>
        <v>30.510662254383675</v>
      </c>
      <c r="M150" s="16">
        <f t="shared" si="5"/>
        <v>1448.6666666666667</v>
      </c>
    </row>
    <row r="151" spans="1:13" x14ac:dyDescent="0.3">
      <c r="A151">
        <v>100149</v>
      </c>
      <c r="B151" t="s">
        <v>18</v>
      </c>
      <c r="C151" t="s">
        <v>14</v>
      </c>
      <c r="D151" t="s">
        <v>12</v>
      </c>
      <c r="E151" s="1">
        <v>44711</v>
      </c>
      <c r="F151" s="4">
        <v>6682</v>
      </c>
      <c r="G151" s="4">
        <v>7138</v>
      </c>
      <c r="H151" s="2">
        <v>3132</v>
      </c>
      <c r="I151" s="16">
        <v>24</v>
      </c>
      <c r="J151" s="1">
        <v>44735</v>
      </c>
      <c r="K151" s="3">
        <v>0.93610000000000004</v>
      </c>
      <c r="L151" s="13">
        <f t="shared" si="4"/>
        <v>438.77836929111794</v>
      </c>
      <c r="M151" s="16">
        <f t="shared" si="5"/>
        <v>278.41666666666669</v>
      </c>
    </row>
    <row r="152" spans="1:13" x14ac:dyDescent="0.3">
      <c r="A152">
        <v>100150</v>
      </c>
      <c r="B152" t="s">
        <v>10</v>
      </c>
      <c r="C152" t="s">
        <v>20</v>
      </c>
      <c r="D152" t="s">
        <v>15</v>
      </c>
      <c r="E152" s="1">
        <v>44712</v>
      </c>
      <c r="F152" s="4">
        <v>76646</v>
      </c>
      <c r="G152" s="4">
        <v>587474</v>
      </c>
      <c r="H152" s="2">
        <v>4078</v>
      </c>
      <c r="I152" s="16">
        <v>24</v>
      </c>
      <c r="J152" s="1">
        <v>44736</v>
      </c>
      <c r="K152" s="3">
        <v>0.1305</v>
      </c>
      <c r="L152" s="13">
        <f t="shared" si="4"/>
        <v>6.9415837977510497</v>
      </c>
      <c r="M152" s="16">
        <f t="shared" si="5"/>
        <v>3193.5833333333335</v>
      </c>
    </row>
    <row r="153" spans="1:13" x14ac:dyDescent="0.3">
      <c r="A153">
        <v>100151</v>
      </c>
      <c r="B153" t="s">
        <v>10</v>
      </c>
      <c r="C153" t="s">
        <v>11</v>
      </c>
      <c r="D153" t="s">
        <v>24</v>
      </c>
      <c r="E153" s="1">
        <v>44713</v>
      </c>
      <c r="F153" s="4">
        <v>25808</v>
      </c>
      <c r="G153" s="4">
        <v>967446</v>
      </c>
      <c r="H153" s="2">
        <v>1184</v>
      </c>
      <c r="I153" s="16">
        <v>25</v>
      </c>
      <c r="J153" s="1">
        <v>44738</v>
      </c>
      <c r="K153" s="3">
        <v>2.6700000000000002E-2</v>
      </c>
      <c r="L153" s="13">
        <f t="shared" si="4"/>
        <v>1.2238409172191522</v>
      </c>
      <c r="M153" s="16">
        <f t="shared" si="5"/>
        <v>1032.32</v>
      </c>
    </row>
    <row r="154" spans="1:13" x14ac:dyDescent="0.3">
      <c r="A154">
        <v>100152</v>
      </c>
      <c r="B154" t="s">
        <v>18</v>
      </c>
      <c r="C154" t="s">
        <v>25</v>
      </c>
      <c r="D154" t="s">
        <v>15</v>
      </c>
      <c r="E154" s="1">
        <v>44714</v>
      </c>
      <c r="F154" s="4">
        <v>83880</v>
      </c>
      <c r="G154" s="4">
        <v>669320</v>
      </c>
      <c r="H154" s="2">
        <v>568</v>
      </c>
      <c r="I154" s="16">
        <v>9</v>
      </c>
      <c r="J154" s="1">
        <v>44723</v>
      </c>
      <c r="K154" s="3">
        <v>0.12529999999999999</v>
      </c>
      <c r="L154" s="13">
        <f t="shared" si="4"/>
        <v>0.84862248251957206</v>
      </c>
      <c r="M154" s="16">
        <f t="shared" si="5"/>
        <v>9320</v>
      </c>
    </row>
    <row r="155" spans="1:13" x14ac:dyDescent="0.3">
      <c r="A155">
        <v>100153</v>
      </c>
      <c r="B155" t="s">
        <v>13</v>
      </c>
      <c r="C155" t="s">
        <v>25</v>
      </c>
      <c r="D155" t="s">
        <v>12</v>
      </c>
      <c r="E155" s="1">
        <v>44715</v>
      </c>
      <c r="F155" s="4">
        <v>50680</v>
      </c>
      <c r="G155" s="4">
        <v>668727</v>
      </c>
      <c r="H155" s="2">
        <v>405</v>
      </c>
      <c r="I155" s="16">
        <v>8</v>
      </c>
      <c r="J155" s="1">
        <v>44723</v>
      </c>
      <c r="K155" s="3">
        <v>7.5800000000000006E-2</v>
      </c>
      <c r="L155" s="13">
        <f t="shared" si="4"/>
        <v>0.60562830572116877</v>
      </c>
      <c r="M155" s="16">
        <f t="shared" si="5"/>
        <v>6335</v>
      </c>
    </row>
    <row r="156" spans="1:13" x14ac:dyDescent="0.3">
      <c r="A156">
        <v>100154</v>
      </c>
      <c r="B156" t="s">
        <v>18</v>
      </c>
      <c r="C156" t="s">
        <v>11</v>
      </c>
      <c r="D156" t="s">
        <v>12</v>
      </c>
      <c r="E156" s="1">
        <v>44716</v>
      </c>
      <c r="F156" s="4">
        <v>78141</v>
      </c>
      <c r="G156" s="4">
        <v>221022</v>
      </c>
      <c r="H156" s="2">
        <v>4071</v>
      </c>
      <c r="I156" s="16">
        <v>25</v>
      </c>
      <c r="J156" s="1">
        <v>44741</v>
      </c>
      <c r="K156" s="3">
        <v>0.35349999999999998</v>
      </c>
      <c r="L156" s="13">
        <f t="shared" si="4"/>
        <v>18.418980915926923</v>
      </c>
      <c r="M156" s="16">
        <f t="shared" si="5"/>
        <v>3125.64</v>
      </c>
    </row>
    <row r="157" spans="1:13" x14ac:dyDescent="0.3">
      <c r="A157">
        <v>100155</v>
      </c>
      <c r="B157" t="s">
        <v>13</v>
      </c>
      <c r="C157" t="s">
        <v>14</v>
      </c>
      <c r="D157" t="s">
        <v>22</v>
      </c>
      <c r="E157" s="1">
        <v>44717</v>
      </c>
      <c r="F157" s="4">
        <v>11406</v>
      </c>
      <c r="G157" s="4">
        <v>605139</v>
      </c>
      <c r="H157" s="2">
        <v>2970</v>
      </c>
      <c r="I157" s="16">
        <v>21</v>
      </c>
      <c r="J157" s="1">
        <v>44738</v>
      </c>
      <c r="K157" s="3">
        <v>1.8800000000000001E-2</v>
      </c>
      <c r="L157" s="13">
        <f t="shared" si="4"/>
        <v>4.9079632943836051</v>
      </c>
      <c r="M157" s="16">
        <f t="shared" si="5"/>
        <v>543.14285714285711</v>
      </c>
    </row>
    <row r="158" spans="1:13" x14ac:dyDescent="0.3">
      <c r="A158">
        <v>100156</v>
      </c>
      <c r="B158" t="s">
        <v>18</v>
      </c>
      <c r="C158" t="s">
        <v>16</v>
      </c>
      <c r="D158" t="s">
        <v>24</v>
      </c>
      <c r="E158" s="1">
        <v>44718</v>
      </c>
      <c r="F158" s="4">
        <v>81723</v>
      </c>
      <c r="G158" s="4">
        <v>37180</v>
      </c>
      <c r="H158" s="2">
        <v>4812</v>
      </c>
      <c r="I158" s="16">
        <v>26</v>
      </c>
      <c r="J158" s="1">
        <v>44744</v>
      </c>
      <c r="K158" s="3">
        <v>2.198</v>
      </c>
      <c r="L158" s="13">
        <f t="shared" si="4"/>
        <v>129.42442173211404</v>
      </c>
      <c r="M158" s="16">
        <f t="shared" si="5"/>
        <v>3143.1923076923076</v>
      </c>
    </row>
    <row r="159" spans="1:13" x14ac:dyDescent="0.3">
      <c r="A159">
        <v>100157</v>
      </c>
      <c r="B159" t="s">
        <v>13</v>
      </c>
      <c r="C159" t="s">
        <v>14</v>
      </c>
      <c r="D159" t="s">
        <v>15</v>
      </c>
      <c r="E159" s="1">
        <v>44719</v>
      </c>
      <c r="F159" s="4">
        <v>81229</v>
      </c>
      <c r="G159" s="4">
        <v>27419</v>
      </c>
      <c r="H159" s="2">
        <v>4989</v>
      </c>
      <c r="I159" s="16">
        <v>24</v>
      </c>
      <c r="J159" s="1">
        <v>44743</v>
      </c>
      <c r="K159" s="3">
        <v>2.9624999999999999</v>
      </c>
      <c r="L159" s="13">
        <f t="shared" si="4"/>
        <v>181.95411940625115</v>
      </c>
      <c r="M159" s="16">
        <f t="shared" si="5"/>
        <v>3384.5416666666665</v>
      </c>
    </row>
    <row r="160" spans="1:13" x14ac:dyDescent="0.3">
      <c r="A160">
        <v>100158</v>
      </c>
      <c r="B160" t="s">
        <v>10</v>
      </c>
      <c r="C160" t="s">
        <v>16</v>
      </c>
      <c r="D160" t="s">
        <v>17</v>
      </c>
      <c r="E160" s="1">
        <v>44720</v>
      </c>
      <c r="F160" s="4">
        <v>46995</v>
      </c>
      <c r="G160" s="4">
        <v>170162</v>
      </c>
      <c r="H160" s="2">
        <v>844</v>
      </c>
      <c r="I160" s="16">
        <v>21</v>
      </c>
      <c r="J160" s="1">
        <v>44741</v>
      </c>
      <c r="K160" s="3">
        <v>0.2762</v>
      </c>
      <c r="L160" s="13">
        <f t="shared" si="4"/>
        <v>4.9599793138303498</v>
      </c>
      <c r="M160" s="16">
        <f t="shared" si="5"/>
        <v>2237.8571428571427</v>
      </c>
    </row>
    <row r="161" spans="1:13" x14ac:dyDescent="0.3">
      <c r="A161">
        <v>100159</v>
      </c>
      <c r="B161" t="s">
        <v>10</v>
      </c>
      <c r="C161" t="s">
        <v>23</v>
      </c>
      <c r="D161" t="s">
        <v>12</v>
      </c>
      <c r="E161" s="1">
        <v>44721</v>
      </c>
      <c r="F161" s="4">
        <v>19889</v>
      </c>
      <c r="G161" s="4">
        <v>558826</v>
      </c>
      <c r="H161" s="2">
        <v>2104</v>
      </c>
      <c r="I161" s="16">
        <v>15</v>
      </c>
      <c r="J161" s="1">
        <v>44736</v>
      </c>
      <c r="K161" s="3">
        <v>3.56E-2</v>
      </c>
      <c r="L161" s="13">
        <f t="shared" si="4"/>
        <v>3.7650359861566929</v>
      </c>
      <c r="M161" s="16">
        <f t="shared" si="5"/>
        <v>1325.9333333333334</v>
      </c>
    </row>
    <row r="162" spans="1:13" x14ac:dyDescent="0.3">
      <c r="A162">
        <v>100160</v>
      </c>
      <c r="B162" t="s">
        <v>18</v>
      </c>
      <c r="C162" t="s">
        <v>21</v>
      </c>
      <c r="D162" t="s">
        <v>15</v>
      </c>
      <c r="E162" s="1">
        <v>44722</v>
      </c>
      <c r="F162" s="4">
        <v>87601</v>
      </c>
      <c r="G162" s="4">
        <v>66153</v>
      </c>
      <c r="H162" s="2">
        <v>2917</v>
      </c>
      <c r="I162" s="16">
        <v>8</v>
      </c>
      <c r="J162" s="1">
        <v>44730</v>
      </c>
      <c r="K162" s="3">
        <v>1.3242</v>
      </c>
      <c r="L162" s="13">
        <f t="shared" si="4"/>
        <v>44.094750049128535</v>
      </c>
      <c r="M162" s="16">
        <f t="shared" si="5"/>
        <v>10950.125</v>
      </c>
    </row>
    <row r="163" spans="1:13" x14ac:dyDescent="0.3">
      <c r="A163">
        <v>100161</v>
      </c>
      <c r="B163" t="s">
        <v>19</v>
      </c>
      <c r="C163" t="s">
        <v>11</v>
      </c>
      <c r="D163" t="s">
        <v>22</v>
      </c>
      <c r="E163" s="1">
        <v>44723</v>
      </c>
      <c r="F163" s="4">
        <v>9299</v>
      </c>
      <c r="G163" s="4">
        <v>854551</v>
      </c>
      <c r="H163" s="2">
        <v>3738</v>
      </c>
      <c r="I163" s="16">
        <v>14</v>
      </c>
      <c r="J163" s="1">
        <v>44737</v>
      </c>
      <c r="K163" s="3">
        <v>1.09E-2</v>
      </c>
      <c r="L163" s="13">
        <f t="shared" si="4"/>
        <v>4.3742269332081989</v>
      </c>
      <c r="M163" s="16">
        <f t="shared" si="5"/>
        <v>664.21428571428567</v>
      </c>
    </row>
    <row r="164" spans="1:13" x14ac:dyDescent="0.3">
      <c r="A164">
        <v>100162</v>
      </c>
      <c r="B164" t="s">
        <v>18</v>
      </c>
      <c r="C164" t="s">
        <v>25</v>
      </c>
      <c r="D164" t="s">
        <v>22</v>
      </c>
      <c r="E164" s="1">
        <v>44724</v>
      </c>
      <c r="F164" s="4">
        <v>27628</v>
      </c>
      <c r="G164" s="4">
        <v>906738</v>
      </c>
      <c r="H164" s="2">
        <v>4217</v>
      </c>
      <c r="I164" s="16">
        <v>28</v>
      </c>
      <c r="J164" s="1">
        <v>44752</v>
      </c>
      <c r="K164" s="3">
        <v>3.0499999999999999E-2</v>
      </c>
      <c r="L164" s="13">
        <f t="shared" si="4"/>
        <v>4.6507370376007175</v>
      </c>
      <c r="M164" s="16">
        <f t="shared" si="5"/>
        <v>986.71428571428567</v>
      </c>
    </row>
    <row r="165" spans="1:13" x14ac:dyDescent="0.3">
      <c r="A165">
        <v>100163</v>
      </c>
      <c r="B165" t="s">
        <v>18</v>
      </c>
      <c r="C165" t="s">
        <v>16</v>
      </c>
      <c r="D165" t="s">
        <v>17</v>
      </c>
      <c r="E165" s="1">
        <v>44725</v>
      </c>
      <c r="F165" s="4">
        <v>25558</v>
      </c>
      <c r="G165" s="4">
        <v>382324</v>
      </c>
      <c r="H165" s="2">
        <v>4647</v>
      </c>
      <c r="I165" s="16">
        <v>23</v>
      </c>
      <c r="J165" s="1">
        <v>44748</v>
      </c>
      <c r="K165" s="3">
        <v>6.6799999999999998E-2</v>
      </c>
      <c r="L165" s="13">
        <f t="shared" si="4"/>
        <v>12.154612318347789</v>
      </c>
      <c r="M165" s="16">
        <f t="shared" si="5"/>
        <v>1111.2173913043478</v>
      </c>
    </row>
    <row r="166" spans="1:13" x14ac:dyDescent="0.3">
      <c r="A166">
        <v>100164</v>
      </c>
      <c r="B166" t="s">
        <v>13</v>
      </c>
      <c r="C166" t="s">
        <v>20</v>
      </c>
      <c r="D166" t="s">
        <v>15</v>
      </c>
      <c r="E166" s="1">
        <v>44726</v>
      </c>
      <c r="F166" s="4">
        <v>1253</v>
      </c>
      <c r="G166" s="4">
        <v>691130</v>
      </c>
      <c r="H166" s="2">
        <v>3796</v>
      </c>
      <c r="I166" s="16">
        <v>29</v>
      </c>
      <c r="J166" s="1">
        <v>44755</v>
      </c>
      <c r="K166" s="3">
        <v>1.8E-3</v>
      </c>
      <c r="L166" s="13">
        <f t="shared" si="4"/>
        <v>5.4924543862949085</v>
      </c>
      <c r="M166" s="16">
        <f t="shared" si="5"/>
        <v>43.206896551724135</v>
      </c>
    </row>
    <row r="167" spans="1:13" x14ac:dyDescent="0.3">
      <c r="A167">
        <v>100165</v>
      </c>
      <c r="B167" t="s">
        <v>18</v>
      </c>
      <c r="C167" t="s">
        <v>16</v>
      </c>
      <c r="D167" t="s">
        <v>17</v>
      </c>
      <c r="E167" s="1">
        <v>44727</v>
      </c>
      <c r="F167" s="4">
        <v>82098</v>
      </c>
      <c r="G167" s="4">
        <v>185352</v>
      </c>
      <c r="H167" s="2">
        <v>4941</v>
      </c>
      <c r="I167" s="16">
        <v>10</v>
      </c>
      <c r="J167" s="1">
        <v>44737</v>
      </c>
      <c r="K167" s="3">
        <v>0.44290000000000002</v>
      </c>
      <c r="L167" s="13">
        <f t="shared" si="4"/>
        <v>26.657387025767189</v>
      </c>
      <c r="M167" s="16">
        <f t="shared" si="5"/>
        <v>8209.7999999999993</v>
      </c>
    </row>
    <row r="168" spans="1:13" x14ac:dyDescent="0.3">
      <c r="A168">
        <v>100166</v>
      </c>
      <c r="B168" t="s">
        <v>10</v>
      </c>
      <c r="C168" t="s">
        <v>11</v>
      </c>
      <c r="D168" t="s">
        <v>12</v>
      </c>
      <c r="E168" s="1">
        <v>44728</v>
      </c>
      <c r="F168" s="4">
        <v>61530</v>
      </c>
      <c r="G168" s="4">
        <v>444357</v>
      </c>
      <c r="H168" s="2">
        <v>290</v>
      </c>
      <c r="I168" s="16">
        <v>18</v>
      </c>
      <c r="J168" s="1">
        <v>44746</v>
      </c>
      <c r="K168" s="3">
        <v>0.13850000000000001</v>
      </c>
      <c r="L168" s="13">
        <f t="shared" si="4"/>
        <v>0.65262840463861271</v>
      </c>
      <c r="M168" s="16">
        <f t="shared" si="5"/>
        <v>3418.3333333333335</v>
      </c>
    </row>
    <row r="169" spans="1:13" x14ac:dyDescent="0.3">
      <c r="A169">
        <v>100167</v>
      </c>
      <c r="B169" t="s">
        <v>10</v>
      </c>
      <c r="C169" t="s">
        <v>11</v>
      </c>
      <c r="D169" t="s">
        <v>12</v>
      </c>
      <c r="E169" s="1">
        <v>44729</v>
      </c>
      <c r="F169" s="4">
        <v>75971</v>
      </c>
      <c r="G169" s="4">
        <v>819661</v>
      </c>
      <c r="H169" s="2">
        <v>1655</v>
      </c>
      <c r="I169" s="16">
        <v>9</v>
      </c>
      <c r="J169" s="1">
        <v>44738</v>
      </c>
      <c r="K169" s="3">
        <v>9.2700000000000005E-2</v>
      </c>
      <c r="L169" s="13">
        <f t="shared" si="4"/>
        <v>2.0191274197503604</v>
      </c>
      <c r="M169" s="16">
        <f t="shared" si="5"/>
        <v>8441.2222222222226</v>
      </c>
    </row>
    <row r="170" spans="1:13" x14ac:dyDescent="0.3">
      <c r="A170">
        <v>100168</v>
      </c>
      <c r="B170" t="s">
        <v>18</v>
      </c>
      <c r="C170" t="s">
        <v>14</v>
      </c>
      <c r="D170" t="s">
        <v>12</v>
      </c>
      <c r="E170" s="1">
        <v>44730</v>
      </c>
      <c r="F170" s="4">
        <v>34487</v>
      </c>
      <c r="G170" s="4">
        <v>614203</v>
      </c>
      <c r="H170" s="2">
        <v>4115</v>
      </c>
      <c r="I170" s="16">
        <v>26</v>
      </c>
      <c r="J170" s="1">
        <v>44756</v>
      </c>
      <c r="K170" s="3">
        <v>5.6099999999999997E-2</v>
      </c>
      <c r="L170" s="13">
        <f t="shared" si="4"/>
        <v>6.6997393369944467</v>
      </c>
      <c r="M170" s="16">
        <f t="shared" si="5"/>
        <v>1326.4230769230769</v>
      </c>
    </row>
    <row r="171" spans="1:13" x14ac:dyDescent="0.3">
      <c r="A171">
        <v>100169</v>
      </c>
      <c r="B171" t="s">
        <v>19</v>
      </c>
      <c r="C171" t="s">
        <v>23</v>
      </c>
      <c r="D171" t="s">
        <v>15</v>
      </c>
      <c r="E171" s="1">
        <v>44731</v>
      </c>
      <c r="F171" s="4">
        <v>62164</v>
      </c>
      <c r="G171" s="4">
        <v>465628</v>
      </c>
      <c r="H171" s="2">
        <v>480</v>
      </c>
      <c r="I171" s="16">
        <v>16</v>
      </c>
      <c r="J171" s="1">
        <v>44747</v>
      </c>
      <c r="K171" s="3">
        <v>0.13350000000000001</v>
      </c>
      <c r="L171" s="13">
        <f t="shared" si="4"/>
        <v>1.0308658414012903</v>
      </c>
      <c r="M171" s="16">
        <f t="shared" si="5"/>
        <v>3885.25</v>
      </c>
    </row>
    <row r="172" spans="1:13" x14ac:dyDescent="0.3">
      <c r="A172">
        <v>100170</v>
      </c>
      <c r="B172" t="s">
        <v>18</v>
      </c>
      <c r="C172" t="s">
        <v>11</v>
      </c>
      <c r="D172" t="s">
        <v>24</v>
      </c>
      <c r="E172" s="1">
        <v>44732</v>
      </c>
      <c r="F172" s="4">
        <v>8820</v>
      </c>
      <c r="G172" s="4">
        <v>55149</v>
      </c>
      <c r="H172" s="2">
        <v>2671</v>
      </c>
      <c r="I172" s="16">
        <v>14</v>
      </c>
      <c r="J172" s="1">
        <v>44746</v>
      </c>
      <c r="K172" s="3">
        <v>0.15989999999999999</v>
      </c>
      <c r="L172" s="13">
        <f t="shared" si="4"/>
        <v>48.432428511849714</v>
      </c>
      <c r="M172" s="16">
        <f t="shared" si="5"/>
        <v>630</v>
      </c>
    </row>
    <row r="173" spans="1:13" x14ac:dyDescent="0.3">
      <c r="A173">
        <v>100171</v>
      </c>
      <c r="B173" t="s">
        <v>13</v>
      </c>
      <c r="C173" t="s">
        <v>23</v>
      </c>
      <c r="D173" t="s">
        <v>22</v>
      </c>
      <c r="E173" s="1">
        <v>44733</v>
      </c>
      <c r="F173" s="4">
        <v>92560</v>
      </c>
      <c r="G173" s="4">
        <v>254593</v>
      </c>
      <c r="H173" s="2">
        <v>1218</v>
      </c>
      <c r="I173" s="16">
        <v>24</v>
      </c>
      <c r="J173" s="1">
        <v>44757</v>
      </c>
      <c r="K173" s="3">
        <v>0.36359999999999998</v>
      </c>
      <c r="L173" s="13">
        <f t="shared" si="4"/>
        <v>4.7841063972693672</v>
      </c>
      <c r="M173" s="16">
        <f t="shared" si="5"/>
        <v>3856.6666666666665</v>
      </c>
    </row>
    <row r="174" spans="1:13" x14ac:dyDescent="0.3">
      <c r="A174">
        <v>100172</v>
      </c>
      <c r="B174" t="s">
        <v>18</v>
      </c>
      <c r="C174" t="s">
        <v>14</v>
      </c>
      <c r="D174" t="s">
        <v>24</v>
      </c>
      <c r="E174" s="1">
        <v>44734</v>
      </c>
      <c r="F174" s="4">
        <v>47635</v>
      </c>
      <c r="G174" s="4">
        <v>35767</v>
      </c>
      <c r="H174" s="2">
        <v>3369</v>
      </c>
      <c r="I174" s="16">
        <v>2</v>
      </c>
      <c r="J174" s="1">
        <v>44736</v>
      </c>
      <c r="K174" s="3">
        <v>1.3318000000000001</v>
      </c>
      <c r="L174" s="13">
        <f t="shared" si="4"/>
        <v>94.192971174546358</v>
      </c>
      <c r="M174" s="16">
        <f t="shared" si="5"/>
        <v>23817.5</v>
      </c>
    </row>
    <row r="175" spans="1:13" x14ac:dyDescent="0.3">
      <c r="A175">
        <v>100173</v>
      </c>
      <c r="B175" t="s">
        <v>19</v>
      </c>
      <c r="C175" t="s">
        <v>21</v>
      </c>
      <c r="D175" t="s">
        <v>17</v>
      </c>
      <c r="E175" s="1">
        <v>44735</v>
      </c>
      <c r="F175" s="4">
        <v>6604</v>
      </c>
      <c r="G175" s="4">
        <v>218881</v>
      </c>
      <c r="H175" s="2">
        <v>3240</v>
      </c>
      <c r="I175" s="16">
        <v>9</v>
      </c>
      <c r="J175" s="1">
        <v>44744</v>
      </c>
      <c r="K175" s="3">
        <v>3.0200000000000001E-2</v>
      </c>
      <c r="L175" s="13">
        <f t="shared" si="4"/>
        <v>14.802563950274351</v>
      </c>
      <c r="M175" s="16">
        <f t="shared" si="5"/>
        <v>733.77777777777783</v>
      </c>
    </row>
    <row r="176" spans="1:13" x14ac:dyDescent="0.3">
      <c r="A176">
        <v>100174</v>
      </c>
      <c r="B176" t="s">
        <v>18</v>
      </c>
      <c r="C176" t="s">
        <v>21</v>
      </c>
      <c r="D176" t="s">
        <v>24</v>
      </c>
      <c r="E176" s="1">
        <v>44736</v>
      </c>
      <c r="F176" s="4">
        <v>56529</v>
      </c>
      <c r="G176" s="4">
        <v>600073</v>
      </c>
      <c r="H176" s="2">
        <v>647</v>
      </c>
      <c r="I176" s="16">
        <v>10</v>
      </c>
      <c r="J176" s="1">
        <v>44746</v>
      </c>
      <c r="K176" s="3">
        <v>9.4200000000000006E-2</v>
      </c>
      <c r="L176" s="13">
        <f t="shared" si="4"/>
        <v>1.0782021520714979</v>
      </c>
      <c r="M176" s="16">
        <f t="shared" si="5"/>
        <v>5652.9</v>
      </c>
    </row>
    <row r="177" spans="1:13" x14ac:dyDescent="0.3">
      <c r="A177">
        <v>100175</v>
      </c>
      <c r="B177" t="s">
        <v>18</v>
      </c>
      <c r="C177" t="s">
        <v>11</v>
      </c>
      <c r="D177" t="s">
        <v>15</v>
      </c>
      <c r="E177" s="1">
        <v>44737</v>
      </c>
      <c r="F177" s="4">
        <v>30556</v>
      </c>
      <c r="G177" s="4">
        <v>847073</v>
      </c>
      <c r="H177" s="2">
        <v>354</v>
      </c>
      <c r="I177" s="16">
        <v>26</v>
      </c>
      <c r="J177" s="1">
        <v>44763</v>
      </c>
      <c r="K177" s="3">
        <v>3.61E-2</v>
      </c>
      <c r="L177" s="13">
        <f t="shared" si="4"/>
        <v>0.41790967248395355</v>
      </c>
      <c r="M177" s="16">
        <f t="shared" si="5"/>
        <v>1175.2307692307693</v>
      </c>
    </row>
    <row r="178" spans="1:13" x14ac:dyDescent="0.3">
      <c r="A178">
        <v>100176</v>
      </c>
      <c r="B178" t="s">
        <v>13</v>
      </c>
      <c r="C178" t="s">
        <v>23</v>
      </c>
      <c r="D178" t="s">
        <v>12</v>
      </c>
      <c r="E178" s="1">
        <v>44738</v>
      </c>
      <c r="F178" s="4">
        <v>78424</v>
      </c>
      <c r="G178" s="4">
        <v>787561</v>
      </c>
      <c r="H178" s="2">
        <v>2763</v>
      </c>
      <c r="I178" s="16">
        <v>7</v>
      </c>
      <c r="J178" s="1">
        <v>44745</v>
      </c>
      <c r="K178" s="3">
        <v>9.9599999999999994E-2</v>
      </c>
      <c r="L178" s="13">
        <f t="shared" si="4"/>
        <v>3.5082996745648907</v>
      </c>
      <c r="M178" s="16">
        <f t="shared" si="5"/>
        <v>11203.428571428571</v>
      </c>
    </row>
    <row r="179" spans="1:13" x14ac:dyDescent="0.3">
      <c r="A179">
        <v>100177</v>
      </c>
      <c r="B179" t="s">
        <v>19</v>
      </c>
      <c r="C179" t="s">
        <v>14</v>
      </c>
      <c r="D179" t="s">
        <v>24</v>
      </c>
      <c r="E179" s="1">
        <v>44739</v>
      </c>
      <c r="F179" s="4">
        <v>24777</v>
      </c>
      <c r="G179" s="4">
        <v>733699</v>
      </c>
      <c r="H179" s="2">
        <v>530</v>
      </c>
      <c r="I179" s="16">
        <v>19</v>
      </c>
      <c r="J179" s="1">
        <v>44758</v>
      </c>
      <c r="K179" s="3">
        <v>3.3799999999999997E-2</v>
      </c>
      <c r="L179" s="13">
        <f t="shared" si="4"/>
        <v>0.72236707423616497</v>
      </c>
      <c r="M179" s="16">
        <f t="shared" si="5"/>
        <v>1304.0526315789473</v>
      </c>
    </row>
    <row r="180" spans="1:13" x14ac:dyDescent="0.3">
      <c r="A180">
        <v>100178</v>
      </c>
      <c r="B180" t="s">
        <v>10</v>
      </c>
      <c r="C180" t="s">
        <v>23</v>
      </c>
      <c r="D180" t="s">
        <v>24</v>
      </c>
      <c r="E180" s="1">
        <v>44740</v>
      </c>
      <c r="F180" s="4">
        <v>78232</v>
      </c>
      <c r="G180" s="4">
        <v>767977</v>
      </c>
      <c r="H180" s="2">
        <v>4419</v>
      </c>
      <c r="I180" s="16">
        <v>23</v>
      </c>
      <c r="J180" s="1">
        <v>44763</v>
      </c>
      <c r="K180" s="3">
        <v>0.1019</v>
      </c>
      <c r="L180" s="13">
        <f t="shared" si="4"/>
        <v>5.7540785726655876</v>
      </c>
      <c r="M180" s="16">
        <f t="shared" si="5"/>
        <v>3401.391304347826</v>
      </c>
    </row>
    <row r="181" spans="1:13" x14ac:dyDescent="0.3">
      <c r="A181">
        <v>100179</v>
      </c>
      <c r="B181" t="s">
        <v>10</v>
      </c>
      <c r="C181" t="s">
        <v>23</v>
      </c>
      <c r="D181" t="s">
        <v>12</v>
      </c>
      <c r="E181" s="1">
        <v>44741</v>
      </c>
      <c r="F181" s="4">
        <v>95296</v>
      </c>
      <c r="G181" s="4">
        <v>990787</v>
      </c>
      <c r="H181" s="2">
        <v>3853</v>
      </c>
      <c r="I181" s="16">
        <v>4</v>
      </c>
      <c r="J181" s="1">
        <v>44745</v>
      </c>
      <c r="K181" s="3">
        <v>9.6199999999999994E-2</v>
      </c>
      <c r="L181" s="13">
        <f t="shared" si="4"/>
        <v>3.8888277702472882</v>
      </c>
      <c r="M181" s="16">
        <f t="shared" si="5"/>
        <v>23824</v>
      </c>
    </row>
    <row r="182" spans="1:13" x14ac:dyDescent="0.3">
      <c r="A182">
        <v>100180</v>
      </c>
      <c r="B182" t="s">
        <v>10</v>
      </c>
      <c r="C182" t="s">
        <v>14</v>
      </c>
      <c r="D182" t="s">
        <v>15</v>
      </c>
      <c r="E182" s="1">
        <v>44742</v>
      </c>
      <c r="F182" s="4">
        <v>82532</v>
      </c>
      <c r="G182" s="4">
        <v>366404</v>
      </c>
      <c r="H182" s="2">
        <v>3760</v>
      </c>
      <c r="I182" s="16">
        <v>4</v>
      </c>
      <c r="J182" s="1">
        <v>44746</v>
      </c>
      <c r="K182" s="3">
        <v>0.22520000000000001</v>
      </c>
      <c r="L182" s="13">
        <f t="shared" si="4"/>
        <v>10.261896704184451</v>
      </c>
      <c r="M182" s="16">
        <f t="shared" si="5"/>
        <v>20633</v>
      </c>
    </row>
    <row r="183" spans="1:13" x14ac:dyDescent="0.3">
      <c r="A183">
        <v>100181</v>
      </c>
      <c r="B183" t="s">
        <v>10</v>
      </c>
      <c r="C183" t="s">
        <v>16</v>
      </c>
      <c r="D183" t="s">
        <v>17</v>
      </c>
      <c r="E183" s="1">
        <v>44743</v>
      </c>
      <c r="F183" s="4">
        <v>52056</v>
      </c>
      <c r="G183" s="4">
        <v>775667</v>
      </c>
      <c r="H183" s="2">
        <v>258</v>
      </c>
      <c r="I183" s="16">
        <v>18</v>
      </c>
      <c r="J183" s="1">
        <v>44761</v>
      </c>
      <c r="K183" s="3">
        <v>6.7100000000000007E-2</v>
      </c>
      <c r="L183" s="13">
        <f t="shared" si="4"/>
        <v>0.33261696062872342</v>
      </c>
      <c r="M183" s="16">
        <f t="shared" si="5"/>
        <v>2892</v>
      </c>
    </row>
    <row r="184" spans="1:13" x14ac:dyDescent="0.3">
      <c r="A184">
        <v>100182</v>
      </c>
      <c r="B184" t="s">
        <v>13</v>
      </c>
      <c r="C184" t="s">
        <v>11</v>
      </c>
      <c r="D184" t="s">
        <v>17</v>
      </c>
      <c r="E184" s="1">
        <v>44744</v>
      </c>
      <c r="F184" s="4">
        <v>22279</v>
      </c>
      <c r="G184" s="4">
        <v>437966</v>
      </c>
      <c r="H184" s="2">
        <v>2212</v>
      </c>
      <c r="I184" s="16">
        <v>3</v>
      </c>
      <c r="J184" s="1">
        <v>44747</v>
      </c>
      <c r="K184" s="3">
        <v>5.0900000000000001E-2</v>
      </c>
      <c r="L184" s="13">
        <f t="shared" si="4"/>
        <v>5.0506203677911072</v>
      </c>
      <c r="M184" s="16">
        <f t="shared" si="5"/>
        <v>7426.333333333333</v>
      </c>
    </row>
    <row r="185" spans="1:13" x14ac:dyDescent="0.3">
      <c r="A185">
        <v>100183</v>
      </c>
      <c r="B185" t="s">
        <v>18</v>
      </c>
      <c r="C185" t="s">
        <v>16</v>
      </c>
      <c r="D185" t="s">
        <v>15</v>
      </c>
      <c r="E185" s="1">
        <v>44745</v>
      </c>
      <c r="F185" s="4">
        <v>32086</v>
      </c>
      <c r="G185" s="4">
        <v>270006</v>
      </c>
      <c r="H185" s="2">
        <v>209</v>
      </c>
      <c r="I185" s="16">
        <v>7</v>
      </c>
      <c r="J185" s="1">
        <v>44752</v>
      </c>
      <c r="K185" s="3">
        <v>0.1188</v>
      </c>
      <c r="L185" s="13">
        <f t="shared" si="4"/>
        <v>0.77405687281023383</v>
      </c>
      <c r="M185" s="16">
        <f t="shared" si="5"/>
        <v>4583.7142857142853</v>
      </c>
    </row>
    <row r="186" spans="1:13" x14ac:dyDescent="0.3">
      <c r="A186">
        <v>100184</v>
      </c>
      <c r="B186" t="s">
        <v>10</v>
      </c>
      <c r="C186" t="s">
        <v>23</v>
      </c>
      <c r="D186" t="s">
        <v>15</v>
      </c>
      <c r="E186" s="1">
        <v>44746</v>
      </c>
      <c r="F186" s="4">
        <v>75917</v>
      </c>
      <c r="G186" s="4">
        <v>230305</v>
      </c>
      <c r="H186" s="2">
        <v>764</v>
      </c>
      <c r="I186" s="16">
        <v>12</v>
      </c>
      <c r="J186" s="1">
        <v>44758</v>
      </c>
      <c r="K186" s="3">
        <v>0.3296</v>
      </c>
      <c r="L186" s="13">
        <f t="shared" si="4"/>
        <v>3.3173400490653702</v>
      </c>
      <c r="M186" s="16">
        <f t="shared" si="5"/>
        <v>6326.416666666667</v>
      </c>
    </row>
    <row r="187" spans="1:13" x14ac:dyDescent="0.3">
      <c r="A187">
        <v>100185</v>
      </c>
      <c r="B187" t="s">
        <v>13</v>
      </c>
      <c r="C187" t="s">
        <v>11</v>
      </c>
      <c r="D187" t="s">
        <v>17</v>
      </c>
      <c r="E187" s="1">
        <v>44747</v>
      </c>
      <c r="F187" s="4">
        <v>10250</v>
      </c>
      <c r="G187" s="4">
        <v>753987</v>
      </c>
      <c r="H187" s="2">
        <v>1999</v>
      </c>
      <c r="I187" s="16">
        <v>15</v>
      </c>
      <c r="J187" s="1">
        <v>44762</v>
      </c>
      <c r="K187" s="3">
        <v>1.3599999999999999E-2</v>
      </c>
      <c r="L187" s="13">
        <f t="shared" si="4"/>
        <v>2.6512393449754437</v>
      </c>
      <c r="M187" s="16">
        <f t="shared" si="5"/>
        <v>683.33333333333337</v>
      </c>
    </row>
    <row r="188" spans="1:13" x14ac:dyDescent="0.3">
      <c r="A188">
        <v>100186</v>
      </c>
      <c r="B188" t="s">
        <v>18</v>
      </c>
      <c r="C188" t="s">
        <v>11</v>
      </c>
      <c r="D188" t="s">
        <v>12</v>
      </c>
      <c r="E188" s="1">
        <v>44748</v>
      </c>
      <c r="F188" s="4">
        <v>69109</v>
      </c>
      <c r="G188" s="4">
        <v>555703</v>
      </c>
      <c r="H188" s="2">
        <v>3652</v>
      </c>
      <c r="I188" s="16">
        <v>9</v>
      </c>
      <c r="J188" s="1">
        <v>44757</v>
      </c>
      <c r="K188" s="3">
        <v>0.1244</v>
      </c>
      <c r="L188" s="13">
        <f t="shared" si="4"/>
        <v>6.5718558294628613</v>
      </c>
      <c r="M188" s="16">
        <f t="shared" si="5"/>
        <v>7678.7777777777774</v>
      </c>
    </row>
    <row r="189" spans="1:13" x14ac:dyDescent="0.3">
      <c r="A189">
        <v>100187</v>
      </c>
      <c r="B189" t="s">
        <v>18</v>
      </c>
      <c r="C189" t="s">
        <v>23</v>
      </c>
      <c r="D189" t="s">
        <v>12</v>
      </c>
      <c r="E189" s="1">
        <v>44749</v>
      </c>
      <c r="F189" s="4">
        <v>48510</v>
      </c>
      <c r="G189" s="4">
        <v>716487</v>
      </c>
      <c r="H189" s="2">
        <v>230</v>
      </c>
      <c r="I189" s="16">
        <v>2</v>
      </c>
      <c r="J189" s="1">
        <v>44751</v>
      </c>
      <c r="K189" s="3">
        <v>6.7699999999999996E-2</v>
      </c>
      <c r="L189" s="13">
        <f t="shared" si="4"/>
        <v>0.32101070919639851</v>
      </c>
      <c r="M189" s="16">
        <f t="shared" si="5"/>
        <v>24255</v>
      </c>
    </row>
    <row r="190" spans="1:13" x14ac:dyDescent="0.3">
      <c r="A190">
        <v>100188</v>
      </c>
      <c r="B190" t="s">
        <v>10</v>
      </c>
      <c r="C190" t="s">
        <v>11</v>
      </c>
      <c r="D190" t="s">
        <v>15</v>
      </c>
      <c r="E190" s="1">
        <v>44750</v>
      </c>
      <c r="F190" s="4">
        <v>13599</v>
      </c>
      <c r="G190" s="4">
        <v>146277</v>
      </c>
      <c r="H190" s="2">
        <v>4280</v>
      </c>
      <c r="I190" s="16">
        <v>13</v>
      </c>
      <c r="J190" s="1">
        <v>44763</v>
      </c>
      <c r="K190" s="3">
        <v>9.2999999999999999E-2</v>
      </c>
      <c r="L190" s="13">
        <f t="shared" si="4"/>
        <v>29.259555500864796</v>
      </c>
      <c r="M190" s="16">
        <f t="shared" si="5"/>
        <v>1046.0769230769231</v>
      </c>
    </row>
    <row r="191" spans="1:13" x14ac:dyDescent="0.3">
      <c r="A191">
        <v>100189</v>
      </c>
      <c r="B191" t="s">
        <v>18</v>
      </c>
      <c r="C191" t="s">
        <v>16</v>
      </c>
      <c r="D191" t="s">
        <v>17</v>
      </c>
      <c r="E191" s="1">
        <v>44751</v>
      </c>
      <c r="F191" s="4">
        <v>62433</v>
      </c>
      <c r="G191" s="4">
        <v>622157</v>
      </c>
      <c r="H191" s="2">
        <v>4450</v>
      </c>
      <c r="I191" s="16">
        <v>12</v>
      </c>
      <c r="J191" s="1">
        <v>44763</v>
      </c>
      <c r="K191" s="3">
        <v>0.1003</v>
      </c>
      <c r="L191" s="13">
        <f t="shared" si="4"/>
        <v>7.1525354532698335</v>
      </c>
      <c r="M191" s="16">
        <f t="shared" si="5"/>
        <v>5202.75</v>
      </c>
    </row>
    <row r="192" spans="1:13" x14ac:dyDescent="0.3">
      <c r="A192">
        <v>100190</v>
      </c>
      <c r="B192" t="s">
        <v>19</v>
      </c>
      <c r="C192" t="s">
        <v>25</v>
      </c>
      <c r="D192" t="s">
        <v>24</v>
      </c>
      <c r="E192" s="1">
        <v>44752</v>
      </c>
      <c r="F192" s="4">
        <v>34275</v>
      </c>
      <c r="G192" s="4">
        <v>547688</v>
      </c>
      <c r="H192" s="2">
        <v>4438</v>
      </c>
      <c r="I192" s="16">
        <v>9</v>
      </c>
      <c r="J192" s="1">
        <v>44761</v>
      </c>
      <c r="K192" s="3">
        <v>6.2600000000000003E-2</v>
      </c>
      <c r="L192" s="13">
        <f t="shared" si="4"/>
        <v>8.1031536203093726</v>
      </c>
      <c r="M192" s="16">
        <f t="shared" si="5"/>
        <v>3808.3333333333335</v>
      </c>
    </row>
    <row r="193" spans="1:13" x14ac:dyDescent="0.3">
      <c r="A193">
        <v>100191</v>
      </c>
      <c r="B193" t="s">
        <v>18</v>
      </c>
      <c r="C193" t="s">
        <v>16</v>
      </c>
      <c r="D193" t="s">
        <v>12</v>
      </c>
      <c r="E193" s="1">
        <v>44753</v>
      </c>
      <c r="F193" s="4">
        <v>63346</v>
      </c>
      <c r="G193" s="4">
        <v>517968</v>
      </c>
      <c r="H193" s="2">
        <v>4928</v>
      </c>
      <c r="I193" s="16">
        <v>20</v>
      </c>
      <c r="J193" s="1">
        <v>44773</v>
      </c>
      <c r="K193" s="3">
        <v>0.12230000000000001</v>
      </c>
      <c r="L193" s="13">
        <f t="shared" si="4"/>
        <v>9.5141012572205224</v>
      </c>
      <c r="M193" s="16">
        <f t="shared" si="5"/>
        <v>3167.3</v>
      </c>
    </row>
    <row r="194" spans="1:13" x14ac:dyDescent="0.3">
      <c r="A194">
        <v>100192</v>
      </c>
      <c r="B194" t="s">
        <v>18</v>
      </c>
      <c r="C194" t="s">
        <v>20</v>
      </c>
      <c r="D194" t="s">
        <v>12</v>
      </c>
      <c r="E194" s="1">
        <v>44754</v>
      </c>
      <c r="F194" s="4">
        <v>68695</v>
      </c>
      <c r="G194" s="4">
        <v>223052</v>
      </c>
      <c r="H194" s="2">
        <v>4613</v>
      </c>
      <c r="I194" s="16">
        <v>16</v>
      </c>
      <c r="J194" s="1">
        <v>44770</v>
      </c>
      <c r="K194" s="3">
        <v>0.308</v>
      </c>
      <c r="L194" s="13">
        <f t="shared" ref="L194:L257" si="6">H194/G194*1000</f>
        <v>20.681276114986641</v>
      </c>
      <c r="M194" s="16">
        <f t="shared" ref="M194:M257" si="7">IFERROR(F194/I194,"No Data")</f>
        <v>4293.4375</v>
      </c>
    </row>
    <row r="195" spans="1:13" x14ac:dyDescent="0.3">
      <c r="A195">
        <v>100193</v>
      </c>
      <c r="B195" t="s">
        <v>10</v>
      </c>
      <c r="C195" t="s">
        <v>20</v>
      </c>
      <c r="D195" t="s">
        <v>22</v>
      </c>
      <c r="E195" s="1">
        <v>44755</v>
      </c>
      <c r="F195" s="4">
        <v>88981</v>
      </c>
      <c r="G195" s="4">
        <v>976804</v>
      </c>
      <c r="H195" s="2">
        <v>96</v>
      </c>
      <c r="I195" s="16">
        <v>8</v>
      </c>
      <c r="J195" s="1">
        <v>44763</v>
      </c>
      <c r="K195" s="3">
        <v>9.11E-2</v>
      </c>
      <c r="L195" s="13">
        <f t="shared" si="6"/>
        <v>9.8279695824341429E-2</v>
      </c>
      <c r="M195" s="16">
        <f t="shared" si="7"/>
        <v>11122.625</v>
      </c>
    </row>
    <row r="196" spans="1:13" x14ac:dyDescent="0.3">
      <c r="A196">
        <v>100194</v>
      </c>
      <c r="B196" t="s">
        <v>18</v>
      </c>
      <c r="C196" t="s">
        <v>20</v>
      </c>
      <c r="D196" t="s">
        <v>15</v>
      </c>
      <c r="E196" s="1">
        <v>44756</v>
      </c>
      <c r="F196" s="4">
        <v>54285</v>
      </c>
      <c r="G196" s="4">
        <v>201623</v>
      </c>
      <c r="H196" s="2">
        <v>1317</v>
      </c>
      <c r="I196" s="16">
        <v>28</v>
      </c>
      <c r="J196" s="1">
        <v>44784</v>
      </c>
      <c r="K196" s="3">
        <v>0.26919999999999999</v>
      </c>
      <c r="L196" s="13">
        <f t="shared" si="6"/>
        <v>6.5319928777966805</v>
      </c>
      <c r="M196" s="16">
        <f t="shared" si="7"/>
        <v>1938.75</v>
      </c>
    </row>
    <row r="197" spans="1:13" x14ac:dyDescent="0.3">
      <c r="A197">
        <v>100195</v>
      </c>
      <c r="B197" t="s">
        <v>18</v>
      </c>
      <c r="C197" t="s">
        <v>11</v>
      </c>
      <c r="D197" t="s">
        <v>12</v>
      </c>
      <c r="E197" s="1">
        <v>44757</v>
      </c>
      <c r="F197" s="4">
        <v>18041</v>
      </c>
      <c r="G197" s="4">
        <v>154470</v>
      </c>
      <c r="H197" s="2">
        <v>149</v>
      </c>
      <c r="I197" s="16">
        <v>22</v>
      </c>
      <c r="J197" s="1">
        <v>44779</v>
      </c>
      <c r="K197" s="3">
        <v>0.1168</v>
      </c>
      <c r="L197" s="13">
        <f t="shared" si="6"/>
        <v>0.96458859325435353</v>
      </c>
      <c r="M197" s="16">
        <f t="shared" si="7"/>
        <v>820.0454545454545</v>
      </c>
    </row>
    <row r="198" spans="1:13" x14ac:dyDescent="0.3">
      <c r="A198">
        <v>100196</v>
      </c>
      <c r="B198" t="s">
        <v>13</v>
      </c>
      <c r="C198" t="s">
        <v>11</v>
      </c>
      <c r="D198" t="s">
        <v>22</v>
      </c>
      <c r="E198" s="1">
        <v>44758</v>
      </c>
      <c r="F198" s="4">
        <v>96145</v>
      </c>
      <c r="G198" s="4">
        <v>397284</v>
      </c>
      <c r="H198" s="2">
        <v>3036</v>
      </c>
      <c r="I198" s="16">
        <v>23</v>
      </c>
      <c r="J198" s="1">
        <v>44781</v>
      </c>
      <c r="K198" s="3">
        <v>0.24199999999999999</v>
      </c>
      <c r="L198" s="13">
        <f t="shared" si="6"/>
        <v>7.641888422388015</v>
      </c>
      <c r="M198" s="16">
        <f t="shared" si="7"/>
        <v>4180.217391304348</v>
      </c>
    </row>
    <row r="199" spans="1:13" x14ac:dyDescent="0.3">
      <c r="A199">
        <v>100197</v>
      </c>
      <c r="B199" t="s">
        <v>10</v>
      </c>
      <c r="C199" t="s">
        <v>16</v>
      </c>
      <c r="D199" t="s">
        <v>24</v>
      </c>
      <c r="E199" s="1">
        <v>44759</v>
      </c>
      <c r="F199" s="4">
        <v>6927</v>
      </c>
      <c r="G199" s="4">
        <v>489774</v>
      </c>
      <c r="H199" s="2">
        <v>3374</v>
      </c>
      <c r="I199" s="16">
        <v>24</v>
      </c>
      <c r="J199" s="1">
        <v>44783</v>
      </c>
      <c r="K199" s="3">
        <v>1.41E-2</v>
      </c>
      <c r="L199" s="13">
        <f t="shared" si="6"/>
        <v>6.8888916112329364</v>
      </c>
      <c r="M199" s="16">
        <f t="shared" si="7"/>
        <v>288.625</v>
      </c>
    </row>
    <row r="200" spans="1:13" x14ac:dyDescent="0.3">
      <c r="A200">
        <v>100198</v>
      </c>
      <c r="B200" t="s">
        <v>18</v>
      </c>
      <c r="C200" t="s">
        <v>23</v>
      </c>
      <c r="D200" t="s">
        <v>15</v>
      </c>
      <c r="E200" s="1">
        <v>44760</v>
      </c>
      <c r="F200" s="4">
        <v>62545</v>
      </c>
      <c r="G200" s="4">
        <v>794680</v>
      </c>
      <c r="H200" s="2">
        <v>103</v>
      </c>
      <c r="I200" s="16">
        <v>8</v>
      </c>
      <c r="J200" s="1">
        <v>44768</v>
      </c>
      <c r="K200" s="3">
        <v>7.8700000000000006E-2</v>
      </c>
      <c r="L200" s="13">
        <f t="shared" si="6"/>
        <v>0.12961191926309962</v>
      </c>
      <c r="M200" s="16">
        <f t="shared" si="7"/>
        <v>7818.125</v>
      </c>
    </row>
    <row r="201" spans="1:13" x14ac:dyDescent="0.3">
      <c r="A201">
        <v>100199</v>
      </c>
      <c r="B201" t="s">
        <v>18</v>
      </c>
      <c r="C201" t="s">
        <v>16</v>
      </c>
      <c r="D201" t="s">
        <v>12</v>
      </c>
      <c r="E201" s="1">
        <v>44761</v>
      </c>
      <c r="F201" s="4">
        <v>48106</v>
      </c>
      <c r="G201" s="4">
        <v>783710</v>
      </c>
      <c r="H201" s="2">
        <v>1981</v>
      </c>
      <c r="I201" s="16">
        <v>6</v>
      </c>
      <c r="J201" s="1">
        <v>44767</v>
      </c>
      <c r="K201" s="3">
        <v>6.1400000000000003E-2</v>
      </c>
      <c r="L201" s="13">
        <f t="shared" si="6"/>
        <v>2.5277207130188466</v>
      </c>
      <c r="M201" s="16">
        <f t="shared" si="7"/>
        <v>8017.666666666667</v>
      </c>
    </row>
    <row r="202" spans="1:13" x14ac:dyDescent="0.3">
      <c r="A202">
        <v>100200</v>
      </c>
      <c r="B202" t="s">
        <v>10</v>
      </c>
      <c r="C202" t="s">
        <v>25</v>
      </c>
      <c r="D202" t="s">
        <v>12</v>
      </c>
      <c r="E202" s="1">
        <v>44762</v>
      </c>
      <c r="F202" s="4">
        <v>5992</v>
      </c>
      <c r="G202" s="4">
        <v>453153</v>
      </c>
      <c r="H202" s="2">
        <v>2475</v>
      </c>
      <c r="I202" s="16">
        <v>2</v>
      </c>
      <c r="J202" s="1">
        <v>44764</v>
      </c>
      <c r="K202" s="3">
        <v>1.32E-2</v>
      </c>
      <c r="L202" s="13">
        <f t="shared" si="6"/>
        <v>5.4617314681796216</v>
      </c>
      <c r="M202" s="16">
        <f t="shared" si="7"/>
        <v>2996</v>
      </c>
    </row>
    <row r="203" spans="1:13" x14ac:dyDescent="0.3">
      <c r="A203">
        <v>100201</v>
      </c>
      <c r="B203" t="s">
        <v>19</v>
      </c>
      <c r="C203" t="s">
        <v>16</v>
      </c>
      <c r="D203" t="s">
        <v>22</v>
      </c>
      <c r="E203" s="1">
        <v>44763</v>
      </c>
      <c r="F203" s="4">
        <v>94388</v>
      </c>
      <c r="G203" s="4">
        <v>279693</v>
      </c>
      <c r="H203" s="2">
        <v>4094</v>
      </c>
      <c r="I203" s="16">
        <v>21</v>
      </c>
      <c r="J203" s="1">
        <v>44784</v>
      </c>
      <c r="K203" s="3">
        <v>0.33750000000000002</v>
      </c>
      <c r="L203" s="13">
        <f t="shared" si="6"/>
        <v>14.637477519995137</v>
      </c>
      <c r="M203" s="16">
        <f t="shared" si="7"/>
        <v>4494.666666666667</v>
      </c>
    </row>
    <row r="204" spans="1:13" x14ac:dyDescent="0.3">
      <c r="A204">
        <v>100202</v>
      </c>
      <c r="B204" t="s">
        <v>13</v>
      </c>
      <c r="C204" t="s">
        <v>14</v>
      </c>
      <c r="D204" t="s">
        <v>15</v>
      </c>
      <c r="E204" s="1">
        <v>44764</v>
      </c>
      <c r="F204" s="4">
        <v>89711</v>
      </c>
      <c r="G204" s="4">
        <v>149206</v>
      </c>
      <c r="H204" s="2">
        <v>2865</v>
      </c>
      <c r="I204" s="16">
        <v>3</v>
      </c>
      <c r="J204" s="1">
        <v>44767</v>
      </c>
      <c r="K204" s="3">
        <v>0.60129999999999995</v>
      </c>
      <c r="L204" s="13">
        <f t="shared" si="6"/>
        <v>19.201640684690961</v>
      </c>
      <c r="M204" s="16">
        <f t="shared" si="7"/>
        <v>29903.666666666668</v>
      </c>
    </row>
    <row r="205" spans="1:13" x14ac:dyDescent="0.3">
      <c r="A205">
        <v>100203</v>
      </c>
      <c r="B205" t="s">
        <v>18</v>
      </c>
      <c r="C205" t="s">
        <v>23</v>
      </c>
      <c r="D205" t="s">
        <v>24</v>
      </c>
      <c r="E205" s="1">
        <v>44765</v>
      </c>
      <c r="F205" s="4">
        <v>82752</v>
      </c>
      <c r="G205" s="4">
        <v>556106</v>
      </c>
      <c r="H205" s="2">
        <v>4653</v>
      </c>
      <c r="I205" s="16">
        <v>17</v>
      </c>
      <c r="J205" s="1">
        <v>44782</v>
      </c>
      <c r="K205" s="3">
        <v>0.14879999999999999</v>
      </c>
      <c r="L205" s="13">
        <f t="shared" si="6"/>
        <v>8.3671098675432383</v>
      </c>
      <c r="M205" s="16">
        <f t="shared" si="7"/>
        <v>4867.7647058823532</v>
      </c>
    </row>
    <row r="206" spans="1:13" x14ac:dyDescent="0.3">
      <c r="A206">
        <v>100204</v>
      </c>
      <c r="B206" t="s">
        <v>18</v>
      </c>
      <c r="C206" t="s">
        <v>14</v>
      </c>
      <c r="D206" t="s">
        <v>15</v>
      </c>
      <c r="E206" s="1">
        <v>44766</v>
      </c>
      <c r="F206" s="4">
        <v>62376</v>
      </c>
      <c r="G206" s="4">
        <v>933053</v>
      </c>
      <c r="H206" s="2">
        <v>1495</v>
      </c>
      <c r="I206" s="16">
        <v>7</v>
      </c>
      <c r="J206" s="1">
        <v>44773</v>
      </c>
      <c r="K206" s="3">
        <v>6.6900000000000001E-2</v>
      </c>
      <c r="L206" s="13">
        <f t="shared" si="6"/>
        <v>1.6022669666139009</v>
      </c>
      <c r="M206" s="16">
        <f t="shared" si="7"/>
        <v>8910.8571428571431</v>
      </c>
    </row>
    <row r="207" spans="1:13" x14ac:dyDescent="0.3">
      <c r="A207">
        <v>100205</v>
      </c>
      <c r="B207" t="s">
        <v>18</v>
      </c>
      <c r="C207" t="s">
        <v>20</v>
      </c>
      <c r="D207" t="s">
        <v>24</v>
      </c>
      <c r="E207" s="1">
        <v>44767</v>
      </c>
      <c r="F207" s="4">
        <v>38880</v>
      </c>
      <c r="G207" s="4">
        <v>209435</v>
      </c>
      <c r="H207" s="2">
        <v>1344</v>
      </c>
      <c r="I207" s="16">
        <v>12</v>
      </c>
      <c r="J207" s="1">
        <v>44779</v>
      </c>
      <c r="K207" s="3">
        <v>0.18559999999999999</v>
      </c>
      <c r="L207" s="13">
        <f t="shared" si="6"/>
        <v>6.4172655000358105</v>
      </c>
      <c r="M207" s="16">
        <f t="shared" si="7"/>
        <v>3240</v>
      </c>
    </row>
    <row r="208" spans="1:13" x14ac:dyDescent="0.3">
      <c r="A208">
        <v>100206</v>
      </c>
      <c r="B208" t="s">
        <v>18</v>
      </c>
      <c r="C208" t="s">
        <v>23</v>
      </c>
      <c r="D208" t="s">
        <v>15</v>
      </c>
      <c r="E208" s="1">
        <v>44768</v>
      </c>
      <c r="F208" s="4">
        <v>41618</v>
      </c>
      <c r="G208" s="4">
        <v>543745</v>
      </c>
      <c r="H208" s="2">
        <v>1439</v>
      </c>
      <c r="I208" s="16">
        <v>20</v>
      </c>
      <c r="J208" s="1">
        <v>44788</v>
      </c>
      <c r="K208" s="3">
        <v>7.6499999999999999E-2</v>
      </c>
      <c r="L208" s="13">
        <f t="shared" si="6"/>
        <v>2.6464611168838337</v>
      </c>
      <c r="M208" s="16">
        <f t="shared" si="7"/>
        <v>2080.9</v>
      </c>
    </row>
    <row r="209" spans="1:13" x14ac:dyDescent="0.3">
      <c r="A209">
        <v>100207</v>
      </c>
      <c r="B209" t="s">
        <v>13</v>
      </c>
      <c r="C209" t="s">
        <v>14</v>
      </c>
      <c r="D209" t="s">
        <v>12</v>
      </c>
      <c r="E209" s="1">
        <v>44769</v>
      </c>
      <c r="F209" s="4">
        <v>89985</v>
      </c>
      <c r="G209" s="4">
        <v>396847</v>
      </c>
      <c r="H209" s="2">
        <v>2696</v>
      </c>
      <c r="I209" s="16">
        <v>28</v>
      </c>
      <c r="J209" s="1">
        <v>44797</v>
      </c>
      <c r="K209" s="3">
        <v>0.22670000000000001</v>
      </c>
      <c r="L209" s="13">
        <f t="shared" si="6"/>
        <v>6.793550159129337</v>
      </c>
      <c r="M209" s="16">
        <f t="shared" si="7"/>
        <v>3213.75</v>
      </c>
    </row>
    <row r="210" spans="1:13" x14ac:dyDescent="0.3">
      <c r="A210">
        <v>100208</v>
      </c>
      <c r="B210" t="s">
        <v>18</v>
      </c>
      <c r="C210" t="s">
        <v>11</v>
      </c>
      <c r="D210" t="s">
        <v>12</v>
      </c>
      <c r="E210" s="1">
        <v>44770</v>
      </c>
      <c r="F210" s="4">
        <v>67202</v>
      </c>
      <c r="G210" s="4">
        <v>922211</v>
      </c>
      <c r="H210" s="2">
        <v>394</v>
      </c>
      <c r="I210" s="16">
        <v>3</v>
      </c>
      <c r="J210" s="1">
        <v>44773</v>
      </c>
      <c r="K210" s="3">
        <v>7.2900000000000006E-2</v>
      </c>
      <c r="L210" s="13">
        <f t="shared" si="6"/>
        <v>0.42723411453561061</v>
      </c>
      <c r="M210" s="16">
        <f t="shared" si="7"/>
        <v>22400.666666666668</v>
      </c>
    </row>
    <row r="211" spans="1:13" x14ac:dyDescent="0.3">
      <c r="A211">
        <v>100209</v>
      </c>
      <c r="B211" t="s">
        <v>13</v>
      </c>
      <c r="C211" t="s">
        <v>20</v>
      </c>
      <c r="D211" t="s">
        <v>22</v>
      </c>
      <c r="E211" s="1">
        <v>44771</v>
      </c>
      <c r="F211" s="4">
        <v>18932</v>
      </c>
      <c r="G211" s="4">
        <v>419983</v>
      </c>
      <c r="H211" s="2">
        <v>920</v>
      </c>
      <c r="I211" s="16">
        <v>10</v>
      </c>
      <c r="J211" s="1">
        <v>44781</v>
      </c>
      <c r="K211" s="3">
        <v>4.5100000000000001E-2</v>
      </c>
      <c r="L211" s="13">
        <f t="shared" si="6"/>
        <v>2.1905648561965601</v>
      </c>
      <c r="M211" s="16">
        <f t="shared" si="7"/>
        <v>1893.2</v>
      </c>
    </row>
    <row r="212" spans="1:13" x14ac:dyDescent="0.3">
      <c r="A212">
        <v>100210</v>
      </c>
      <c r="B212" t="s">
        <v>13</v>
      </c>
      <c r="C212" t="s">
        <v>25</v>
      </c>
      <c r="D212" t="s">
        <v>22</v>
      </c>
      <c r="E212" s="1">
        <v>44772</v>
      </c>
      <c r="F212" s="4">
        <v>59155</v>
      </c>
      <c r="G212" s="4">
        <v>218379</v>
      </c>
      <c r="H212" s="2">
        <v>4827</v>
      </c>
      <c r="I212" s="16">
        <v>18</v>
      </c>
      <c r="J212" s="1">
        <v>44790</v>
      </c>
      <c r="K212" s="3">
        <v>0.27089999999999997</v>
      </c>
      <c r="L212" s="13">
        <f t="shared" si="6"/>
        <v>22.103773714505515</v>
      </c>
      <c r="M212" s="16">
        <f t="shared" si="7"/>
        <v>3286.3888888888887</v>
      </c>
    </row>
    <row r="213" spans="1:13" x14ac:dyDescent="0.3">
      <c r="A213">
        <v>100211</v>
      </c>
      <c r="B213" t="s">
        <v>13</v>
      </c>
      <c r="C213" t="s">
        <v>11</v>
      </c>
      <c r="D213" t="s">
        <v>15</v>
      </c>
      <c r="E213" s="1">
        <v>44773</v>
      </c>
      <c r="F213" s="4">
        <v>1302</v>
      </c>
      <c r="G213" s="4">
        <v>852761</v>
      </c>
      <c r="H213" s="2">
        <v>4261</v>
      </c>
      <c r="I213" s="16">
        <v>22</v>
      </c>
      <c r="J213" s="1">
        <v>44795</v>
      </c>
      <c r="K213" s="3">
        <v>1.5E-3</v>
      </c>
      <c r="L213" s="13">
        <f t="shared" si="6"/>
        <v>4.9967106844707958</v>
      </c>
      <c r="M213" s="16">
        <f t="shared" si="7"/>
        <v>59.18181818181818</v>
      </c>
    </row>
    <row r="214" spans="1:13" x14ac:dyDescent="0.3">
      <c r="A214">
        <v>100212</v>
      </c>
      <c r="B214" t="s">
        <v>18</v>
      </c>
      <c r="C214" t="s">
        <v>21</v>
      </c>
      <c r="D214" t="s">
        <v>12</v>
      </c>
      <c r="E214" s="1">
        <v>44774</v>
      </c>
      <c r="F214" s="4">
        <v>36567</v>
      </c>
      <c r="G214" s="4">
        <v>579301</v>
      </c>
      <c r="H214" s="2">
        <v>4015</v>
      </c>
      <c r="I214" s="16">
        <v>26</v>
      </c>
      <c r="J214" s="1">
        <v>44800</v>
      </c>
      <c r="K214" s="3">
        <v>6.3100000000000003E-2</v>
      </c>
      <c r="L214" s="13">
        <f t="shared" si="6"/>
        <v>6.9307665617701337</v>
      </c>
      <c r="M214" s="16">
        <f t="shared" si="7"/>
        <v>1406.4230769230769</v>
      </c>
    </row>
    <row r="215" spans="1:13" x14ac:dyDescent="0.3">
      <c r="A215">
        <v>100213</v>
      </c>
      <c r="B215" t="s">
        <v>10</v>
      </c>
      <c r="C215" t="s">
        <v>20</v>
      </c>
      <c r="D215" t="s">
        <v>22</v>
      </c>
      <c r="E215" s="1">
        <v>44775</v>
      </c>
      <c r="F215" s="4">
        <v>57100</v>
      </c>
      <c r="G215" s="4">
        <v>897543</v>
      </c>
      <c r="H215" s="2">
        <v>3647</v>
      </c>
      <c r="I215" s="16">
        <v>3</v>
      </c>
      <c r="J215" s="1">
        <v>44778</v>
      </c>
      <c r="K215" s="3">
        <v>6.3600000000000004E-2</v>
      </c>
      <c r="L215" s="13">
        <f t="shared" si="6"/>
        <v>4.0633150723697922</v>
      </c>
      <c r="M215" s="16">
        <f t="shared" si="7"/>
        <v>19033.333333333332</v>
      </c>
    </row>
    <row r="216" spans="1:13" x14ac:dyDescent="0.3">
      <c r="A216">
        <v>100214</v>
      </c>
      <c r="B216" t="s">
        <v>10</v>
      </c>
      <c r="C216" t="s">
        <v>20</v>
      </c>
      <c r="D216" t="s">
        <v>24</v>
      </c>
      <c r="E216" s="1">
        <v>44776</v>
      </c>
      <c r="F216" s="4">
        <v>7343</v>
      </c>
      <c r="G216" s="4">
        <v>4028</v>
      </c>
      <c r="H216" s="2">
        <v>3548</v>
      </c>
      <c r="I216" s="16">
        <v>16</v>
      </c>
      <c r="J216" s="1">
        <v>44792</v>
      </c>
      <c r="K216" s="3">
        <v>1.823</v>
      </c>
      <c r="L216" s="13">
        <f t="shared" si="6"/>
        <v>880.83416087388275</v>
      </c>
      <c r="M216" s="16">
        <f t="shared" si="7"/>
        <v>458.9375</v>
      </c>
    </row>
    <row r="217" spans="1:13" x14ac:dyDescent="0.3">
      <c r="A217">
        <v>100215</v>
      </c>
      <c r="B217" t="s">
        <v>10</v>
      </c>
      <c r="C217" t="s">
        <v>23</v>
      </c>
      <c r="D217" t="s">
        <v>22</v>
      </c>
      <c r="E217" s="1">
        <v>44777</v>
      </c>
      <c r="F217" s="4">
        <v>82229</v>
      </c>
      <c r="G217" s="4">
        <v>214396</v>
      </c>
      <c r="H217" s="2">
        <v>2886</v>
      </c>
      <c r="I217" s="16">
        <v>25</v>
      </c>
      <c r="J217" s="1">
        <v>44802</v>
      </c>
      <c r="K217" s="3">
        <v>0.38350000000000001</v>
      </c>
      <c r="L217" s="13">
        <f t="shared" si="6"/>
        <v>13.461072034926024</v>
      </c>
      <c r="M217" s="16">
        <f t="shared" si="7"/>
        <v>3289.16</v>
      </c>
    </row>
    <row r="218" spans="1:13" x14ac:dyDescent="0.3">
      <c r="A218">
        <v>100216</v>
      </c>
      <c r="B218" t="s">
        <v>18</v>
      </c>
      <c r="C218" t="s">
        <v>21</v>
      </c>
      <c r="D218" t="s">
        <v>22</v>
      </c>
      <c r="E218" s="1">
        <v>44778</v>
      </c>
      <c r="F218" s="4">
        <v>26920</v>
      </c>
      <c r="G218" s="4">
        <v>659085</v>
      </c>
      <c r="H218" s="2">
        <v>4329</v>
      </c>
      <c r="I218" s="16">
        <v>6</v>
      </c>
      <c r="J218" s="1">
        <v>44784</v>
      </c>
      <c r="K218" s="3">
        <v>4.0800000000000003E-2</v>
      </c>
      <c r="L218" s="13">
        <f t="shared" si="6"/>
        <v>6.5681968183163022</v>
      </c>
      <c r="M218" s="16">
        <f t="shared" si="7"/>
        <v>4486.666666666667</v>
      </c>
    </row>
    <row r="219" spans="1:13" x14ac:dyDescent="0.3">
      <c r="A219">
        <v>100217</v>
      </c>
      <c r="B219" t="s">
        <v>18</v>
      </c>
      <c r="C219" t="s">
        <v>11</v>
      </c>
      <c r="D219" t="s">
        <v>12</v>
      </c>
      <c r="E219" s="1">
        <v>44779</v>
      </c>
      <c r="F219" s="4">
        <v>95189</v>
      </c>
      <c r="G219" s="4">
        <v>11130</v>
      </c>
      <c r="H219" s="2">
        <v>2781</v>
      </c>
      <c r="I219" s="16">
        <v>23</v>
      </c>
      <c r="J219" s="1">
        <v>44802</v>
      </c>
      <c r="K219" s="3">
        <v>8.5525000000000002</v>
      </c>
      <c r="L219" s="13">
        <f t="shared" si="6"/>
        <v>249.86522911051213</v>
      </c>
      <c r="M219" s="16">
        <f t="shared" si="7"/>
        <v>4138.652173913043</v>
      </c>
    </row>
    <row r="220" spans="1:13" x14ac:dyDescent="0.3">
      <c r="A220">
        <v>100218</v>
      </c>
      <c r="B220" t="s">
        <v>19</v>
      </c>
      <c r="C220" t="s">
        <v>11</v>
      </c>
      <c r="D220" t="s">
        <v>17</v>
      </c>
      <c r="E220" s="1">
        <v>44780</v>
      </c>
      <c r="F220" s="4">
        <v>28343</v>
      </c>
      <c r="G220" s="4">
        <v>949727</v>
      </c>
      <c r="H220" s="2">
        <v>3902</v>
      </c>
      <c r="I220" s="16">
        <v>6</v>
      </c>
      <c r="J220" s="1">
        <v>44786</v>
      </c>
      <c r="K220" s="3">
        <v>2.98E-2</v>
      </c>
      <c r="L220" s="13">
        <f t="shared" si="6"/>
        <v>4.1085490883169582</v>
      </c>
      <c r="M220" s="16">
        <f t="shared" si="7"/>
        <v>4723.833333333333</v>
      </c>
    </row>
    <row r="221" spans="1:13" x14ac:dyDescent="0.3">
      <c r="A221">
        <v>100219</v>
      </c>
      <c r="B221" t="s">
        <v>18</v>
      </c>
      <c r="C221" t="s">
        <v>25</v>
      </c>
      <c r="D221" t="s">
        <v>22</v>
      </c>
      <c r="E221" s="1">
        <v>44781</v>
      </c>
      <c r="F221" s="4">
        <v>34437</v>
      </c>
      <c r="G221" s="4">
        <v>174209</v>
      </c>
      <c r="H221" s="2">
        <v>55</v>
      </c>
      <c r="I221" s="16">
        <v>25</v>
      </c>
      <c r="J221" s="1">
        <v>44806</v>
      </c>
      <c r="K221" s="3">
        <v>0.19769999999999999</v>
      </c>
      <c r="L221" s="13">
        <f t="shared" si="6"/>
        <v>0.31571273585176424</v>
      </c>
      <c r="M221" s="16">
        <f t="shared" si="7"/>
        <v>1377.48</v>
      </c>
    </row>
    <row r="222" spans="1:13" x14ac:dyDescent="0.3">
      <c r="A222">
        <v>100220</v>
      </c>
      <c r="B222" t="s">
        <v>18</v>
      </c>
      <c r="C222" t="s">
        <v>20</v>
      </c>
      <c r="D222" t="s">
        <v>12</v>
      </c>
      <c r="E222" s="1">
        <v>44782</v>
      </c>
      <c r="F222" s="4">
        <v>32496</v>
      </c>
      <c r="G222" s="4">
        <v>638695</v>
      </c>
      <c r="H222" s="2">
        <v>2391</v>
      </c>
      <c r="I222" s="16">
        <v>24</v>
      </c>
      <c r="J222" s="1">
        <v>44806</v>
      </c>
      <c r="K222" s="3">
        <v>5.0900000000000001E-2</v>
      </c>
      <c r="L222" s="13">
        <f t="shared" si="6"/>
        <v>3.7435708749872787</v>
      </c>
      <c r="M222" s="16">
        <f t="shared" si="7"/>
        <v>1354</v>
      </c>
    </row>
    <row r="223" spans="1:13" x14ac:dyDescent="0.3">
      <c r="A223">
        <v>100221</v>
      </c>
      <c r="B223" t="s">
        <v>13</v>
      </c>
      <c r="C223" t="s">
        <v>14</v>
      </c>
      <c r="D223" t="s">
        <v>22</v>
      </c>
      <c r="E223" s="1">
        <v>44783</v>
      </c>
      <c r="F223" s="4">
        <v>48668</v>
      </c>
      <c r="G223" s="4">
        <v>426043</v>
      </c>
      <c r="H223" s="2">
        <v>4476</v>
      </c>
      <c r="I223" s="16">
        <v>4</v>
      </c>
      <c r="J223" s="1">
        <v>44787</v>
      </c>
      <c r="K223" s="3">
        <v>0.1142</v>
      </c>
      <c r="L223" s="13">
        <f t="shared" si="6"/>
        <v>10.505981790570434</v>
      </c>
      <c r="M223" s="16">
        <f t="shared" si="7"/>
        <v>12167</v>
      </c>
    </row>
    <row r="224" spans="1:13" x14ac:dyDescent="0.3">
      <c r="A224">
        <v>100222</v>
      </c>
      <c r="B224" t="s">
        <v>13</v>
      </c>
      <c r="C224" t="s">
        <v>20</v>
      </c>
      <c r="D224" t="s">
        <v>12</v>
      </c>
      <c r="E224" s="1">
        <v>44784</v>
      </c>
      <c r="F224" s="4">
        <v>75068</v>
      </c>
      <c r="G224" s="4">
        <v>830663</v>
      </c>
      <c r="H224" s="2">
        <v>4820</v>
      </c>
      <c r="I224" s="16">
        <v>17</v>
      </c>
      <c r="J224" s="1">
        <v>44801</v>
      </c>
      <c r="K224" s="3">
        <v>9.0399999999999994E-2</v>
      </c>
      <c r="L224" s="13">
        <f t="shared" si="6"/>
        <v>5.8025938316742165</v>
      </c>
      <c r="M224" s="16">
        <f t="shared" si="7"/>
        <v>4415.7647058823532</v>
      </c>
    </row>
    <row r="225" spans="1:13" x14ac:dyDescent="0.3">
      <c r="A225">
        <v>100223</v>
      </c>
      <c r="B225" t="s">
        <v>19</v>
      </c>
      <c r="C225" t="s">
        <v>20</v>
      </c>
      <c r="D225" t="s">
        <v>12</v>
      </c>
      <c r="E225" s="1">
        <v>44785</v>
      </c>
      <c r="F225" s="4">
        <v>15947</v>
      </c>
      <c r="G225" s="4">
        <v>732898</v>
      </c>
      <c r="H225" s="2">
        <v>961</v>
      </c>
      <c r="I225" s="16">
        <v>16</v>
      </c>
      <c r="J225" s="1">
        <v>44801</v>
      </c>
      <c r="K225" s="3">
        <v>2.18E-2</v>
      </c>
      <c r="L225" s="13">
        <f t="shared" si="6"/>
        <v>1.3112329410095267</v>
      </c>
      <c r="M225" s="16">
        <f t="shared" si="7"/>
        <v>996.6875</v>
      </c>
    </row>
    <row r="226" spans="1:13" x14ac:dyDescent="0.3">
      <c r="A226">
        <v>100224</v>
      </c>
      <c r="B226" t="s">
        <v>18</v>
      </c>
      <c r="C226" t="s">
        <v>16</v>
      </c>
      <c r="D226" t="s">
        <v>12</v>
      </c>
      <c r="E226" s="1">
        <v>44786</v>
      </c>
      <c r="F226" s="4">
        <v>78701</v>
      </c>
      <c r="G226" s="4">
        <v>221189</v>
      </c>
      <c r="H226" s="2">
        <v>2648</v>
      </c>
      <c r="I226" s="16">
        <v>18</v>
      </c>
      <c r="J226" s="1">
        <v>44804</v>
      </c>
      <c r="K226" s="3">
        <v>0.35580000000000001</v>
      </c>
      <c r="L226" s="13">
        <f t="shared" si="6"/>
        <v>11.971662243601626</v>
      </c>
      <c r="M226" s="16">
        <f t="shared" si="7"/>
        <v>4372.2777777777774</v>
      </c>
    </row>
    <row r="227" spans="1:13" x14ac:dyDescent="0.3">
      <c r="A227">
        <v>100225</v>
      </c>
      <c r="B227" t="s">
        <v>19</v>
      </c>
      <c r="C227" t="s">
        <v>25</v>
      </c>
      <c r="D227" t="s">
        <v>15</v>
      </c>
      <c r="E227" s="1">
        <v>44787</v>
      </c>
      <c r="F227" s="4">
        <v>6980</v>
      </c>
      <c r="G227" s="4">
        <v>836224</v>
      </c>
      <c r="H227" s="2">
        <v>1965</v>
      </c>
      <c r="I227" s="16">
        <v>24</v>
      </c>
      <c r="J227" s="1">
        <v>44811</v>
      </c>
      <c r="K227" s="3">
        <v>8.3000000000000001E-3</v>
      </c>
      <c r="L227" s="13">
        <f t="shared" si="6"/>
        <v>2.3498488443287919</v>
      </c>
      <c r="M227" s="16">
        <f t="shared" si="7"/>
        <v>290.83333333333331</v>
      </c>
    </row>
    <row r="228" spans="1:13" x14ac:dyDescent="0.3">
      <c r="A228">
        <v>100226</v>
      </c>
      <c r="B228" t="s">
        <v>18</v>
      </c>
      <c r="C228" t="s">
        <v>20</v>
      </c>
      <c r="D228" t="s">
        <v>15</v>
      </c>
      <c r="E228" s="1">
        <v>44788</v>
      </c>
      <c r="F228" s="4">
        <v>4518</v>
      </c>
      <c r="G228" s="4">
        <v>881345</v>
      </c>
      <c r="H228" s="2">
        <v>2310</v>
      </c>
      <c r="I228" s="16">
        <v>7</v>
      </c>
      <c r="J228" s="1">
        <v>44795</v>
      </c>
      <c r="K228" s="3">
        <v>5.1000000000000004E-3</v>
      </c>
      <c r="L228" s="13">
        <f t="shared" si="6"/>
        <v>2.6209940488684906</v>
      </c>
      <c r="M228" s="16">
        <f t="shared" si="7"/>
        <v>645.42857142857144</v>
      </c>
    </row>
    <row r="229" spans="1:13" x14ac:dyDescent="0.3">
      <c r="A229">
        <v>100227</v>
      </c>
      <c r="B229" t="s">
        <v>13</v>
      </c>
      <c r="C229" t="s">
        <v>20</v>
      </c>
      <c r="D229" t="s">
        <v>24</v>
      </c>
      <c r="E229" s="1">
        <v>44789</v>
      </c>
      <c r="F229" s="4">
        <v>19161</v>
      </c>
      <c r="G229" s="4">
        <v>196950</v>
      </c>
      <c r="H229" s="2">
        <v>942</v>
      </c>
      <c r="I229" s="16">
        <v>6</v>
      </c>
      <c r="J229" s="1">
        <v>44795</v>
      </c>
      <c r="K229" s="3">
        <v>9.7299999999999998E-2</v>
      </c>
      <c r="L229" s="13">
        <f t="shared" si="6"/>
        <v>4.7829398324447832</v>
      </c>
      <c r="M229" s="16">
        <f t="shared" si="7"/>
        <v>3193.5</v>
      </c>
    </row>
    <row r="230" spans="1:13" x14ac:dyDescent="0.3">
      <c r="A230">
        <v>100228</v>
      </c>
      <c r="B230" t="s">
        <v>13</v>
      </c>
      <c r="C230" t="s">
        <v>16</v>
      </c>
      <c r="D230" t="s">
        <v>17</v>
      </c>
      <c r="E230" s="1">
        <v>44790</v>
      </c>
      <c r="F230" s="4">
        <v>61563</v>
      </c>
      <c r="G230" s="4">
        <v>702309</v>
      </c>
      <c r="H230" s="2">
        <v>109</v>
      </c>
      <c r="I230" s="16">
        <v>26</v>
      </c>
      <c r="J230" s="1">
        <v>44816</v>
      </c>
      <c r="K230" s="3">
        <v>8.77E-2</v>
      </c>
      <c r="L230" s="13">
        <f t="shared" si="6"/>
        <v>0.155202339710868</v>
      </c>
      <c r="M230" s="16">
        <f t="shared" si="7"/>
        <v>2367.8076923076924</v>
      </c>
    </row>
    <row r="231" spans="1:13" x14ac:dyDescent="0.3">
      <c r="A231">
        <v>100229</v>
      </c>
      <c r="B231" t="s">
        <v>18</v>
      </c>
      <c r="C231" t="s">
        <v>11</v>
      </c>
      <c r="D231" t="s">
        <v>17</v>
      </c>
      <c r="E231" s="1">
        <v>44791</v>
      </c>
      <c r="F231" s="4">
        <v>96938</v>
      </c>
      <c r="G231" s="4">
        <v>792099</v>
      </c>
      <c r="H231" s="2">
        <v>3003</v>
      </c>
      <c r="I231" s="16">
        <v>21</v>
      </c>
      <c r="J231" s="1">
        <v>44812</v>
      </c>
      <c r="K231" s="3">
        <v>0.12239999999999999</v>
      </c>
      <c r="L231" s="13">
        <f t="shared" si="6"/>
        <v>3.79119276757072</v>
      </c>
      <c r="M231" s="16">
        <f t="shared" si="7"/>
        <v>4616.0952380952385</v>
      </c>
    </row>
    <row r="232" spans="1:13" x14ac:dyDescent="0.3">
      <c r="A232">
        <v>100230</v>
      </c>
      <c r="B232" t="s">
        <v>18</v>
      </c>
      <c r="C232" t="s">
        <v>21</v>
      </c>
      <c r="D232" t="s">
        <v>17</v>
      </c>
      <c r="E232" s="1">
        <v>44792</v>
      </c>
      <c r="F232" s="4">
        <v>9543</v>
      </c>
      <c r="G232" s="4">
        <v>907757</v>
      </c>
      <c r="H232" s="2">
        <v>2349</v>
      </c>
      <c r="I232" s="16">
        <v>17</v>
      </c>
      <c r="J232" s="1">
        <v>44809</v>
      </c>
      <c r="K232" s="3">
        <v>1.0500000000000001E-2</v>
      </c>
      <c r="L232" s="13">
        <f t="shared" si="6"/>
        <v>2.5876969277020172</v>
      </c>
      <c r="M232" s="16">
        <f t="shared" si="7"/>
        <v>561.35294117647061</v>
      </c>
    </row>
    <row r="233" spans="1:13" x14ac:dyDescent="0.3">
      <c r="A233">
        <v>100231</v>
      </c>
      <c r="B233" t="s">
        <v>13</v>
      </c>
      <c r="C233" t="s">
        <v>20</v>
      </c>
      <c r="D233" t="s">
        <v>24</v>
      </c>
      <c r="E233" s="1">
        <v>44793</v>
      </c>
      <c r="F233" s="4">
        <v>4240</v>
      </c>
      <c r="G233" s="4">
        <v>471330</v>
      </c>
      <c r="H233" s="2">
        <v>839</v>
      </c>
      <c r="I233" s="16">
        <v>1</v>
      </c>
      <c r="J233" s="1">
        <v>44794</v>
      </c>
      <c r="K233" s="3">
        <v>8.9999999999999993E-3</v>
      </c>
      <c r="L233" s="13">
        <f t="shared" si="6"/>
        <v>1.7800691659771286</v>
      </c>
      <c r="M233" s="16">
        <f t="shared" si="7"/>
        <v>4240</v>
      </c>
    </row>
    <row r="234" spans="1:13" x14ac:dyDescent="0.3">
      <c r="A234">
        <v>100232</v>
      </c>
      <c r="B234" t="s">
        <v>19</v>
      </c>
      <c r="C234" t="s">
        <v>14</v>
      </c>
      <c r="D234" t="s">
        <v>17</v>
      </c>
      <c r="E234" s="1">
        <v>44794</v>
      </c>
      <c r="F234" s="4">
        <v>24557</v>
      </c>
      <c r="G234" s="4">
        <v>121433</v>
      </c>
      <c r="H234" s="2">
        <v>2265</v>
      </c>
      <c r="I234" s="16">
        <v>7</v>
      </c>
      <c r="J234" s="1">
        <v>44801</v>
      </c>
      <c r="K234" s="3">
        <v>0.20219999999999999</v>
      </c>
      <c r="L234" s="13">
        <f t="shared" si="6"/>
        <v>18.652260917543007</v>
      </c>
      <c r="M234" s="16">
        <f t="shared" si="7"/>
        <v>3508.1428571428573</v>
      </c>
    </row>
    <row r="235" spans="1:13" x14ac:dyDescent="0.3">
      <c r="A235">
        <v>100233</v>
      </c>
      <c r="B235" t="s">
        <v>13</v>
      </c>
      <c r="C235" t="s">
        <v>20</v>
      </c>
      <c r="D235" t="s">
        <v>15</v>
      </c>
      <c r="E235" s="1">
        <v>44795</v>
      </c>
      <c r="F235" s="4">
        <v>33413</v>
      </c>
      <c r="G235" s="4">
        <v>79106</v>
      </c>
      <c r="H235" s="2">
        <v>3217</v>
      </c>
      <c r="I235" s="16">
        <v>26</v>
      </c>
      <c r="J235" s="1">
        <v>44821</v>
      </c>
      <c r="K235" s="3">
        <v>0.4224</v>
      </c>
      <c r="L235" s="13">
        <f t="shared" si="6"/>
        <v>40.666953202032715</v>
      </c>
      <c r="M235" s="16">
        <f t="shared" si="7"/>
        <v>1285.1153846153845</v>
      </c>
    </row>
    <row r="236" spans="1:13" x14ac:dyDescent="0.3">
      <c r="A236">
        <v>100234</v>
      </c>
      <c r="B236" t="s">
        <v>19</v>
      </c>
      <c r="C236" t="s">
        <v>11</v>
      </c>
      <c r="D236" t="s">
        <v>22</v>
      </c>
      <c r="E236" s="1">
        <v>44796</v>
      </c>
      <c r="F236" s="4">
        <v>95021</v>
      </c>
      <c r="G236" s="4">
        <v>679646</v>
      </c>
      <c r="H236" s="2">
        <v>433</v>
      </c>
      <c r="I236" s="16">
        <v>6</v>
      </c>
      <c r="J236" s="1">
        <v>44802</v>
      </c>
      <c r="K236" s="3">
        <v>0.13980000000000001</v>
      </c>
      <c r="L236" s="13">
        <f t="shared" si="6"/>
        <v>0.63709637075771797</v>
      </c>
      <c r="M236" s="16">
        <f t="shared" si="7"/>
        <v>15836.833333333334</v>
      </c>
    </row>
    <row r="237" spans="1:13" x14ac:dyDescent="0.3">
      <c r="A237">
        <v>100235</v>
      </c>
      <c r="B237" t="s">
        <v>10</v>
      </c>
      <c r="C237" t="s">
        <v>16</v>
      </c>
      <c r="D237" t="s">
        <v>12</v>
      </c>
      <c r="E237" s="1">
        <v>44797</v>
      </c>
      <c r="F237" s="4">
        <v>45545</v>
      </c>
      <c r="G237" s="4">
        <v>613987</v>
      </c>
      <c r="H237" s="2">
        <v>2410</v>
      </c>
      <c r="I237" s="16">
        <v>27</v>
      </c>
      <c r="J237" s="1">
        <v>44824</v>
      </c>
      <c r="K237" s="3">
        <v>7.4200000000000002E-2</v>
      </c>
      <c r="L237" s="13">
        <f t="shared" si="6"/>
        <v>3.9251645393143502</v>
      </c>
      <c r="M237" s="16">
        <f t="shared" si="7"/>
        <v>1686.851851851852</v>
      </c>
    </row>
    <row r="238" spans="1:13" x14ac:dyDescent="0.3">
      <c r="A238">
        <v>100236</v>
      </c>
      <c r="B238" t="s">
        <v>13</v>
      </c>
      <c r="C238" t="s">
        <v>23</v>
      </c>
      <c r="D238" t="s">
        <v>24</v>
      </c>
      <c r="E238" s="1">
        <v>44798</v>
      </c>
      <c r="F238" s="4">
        <v>38530</v>
      </c>
      <c r="G238" s="4">
        <v>113172</v>
      </c>
      <c r="H238" s="2">
        <v>2946</v>
      </c>
      <c r="I238" s="16">
        <v>10</v>
      </c>
      <c r="J238" s="1">
        <v>44808</v>
      </c>
      <c r="K238" s="3">
        <v>0.34050000000000002</v>
      </c>
      <c r="L238" s="13">
        <f t="shared" si="6"/>
        <v>26.03117378856961</v>
      </c>
      <c r="M238" s="16">
        <f t="shared" si="7"/>
        <v>3853</v>
      </c>
    </row>
    <row r="239" spans="1:13" x14ac:dyDescent="0.3">
      <c r="A239">
        <v>100237</v>
      </c>
      <c r="B239" t="s">
        <v>10</v>
      </c>
      <c r="C239" t="s">
        <v>11</v>
      </c>
      <c r="D239" t="s">
        <v>17</v>
      </c>
      <c r="E239" s="1">
        <v>44799</v>
      </c>
      <c r="F239" s="4">
        <v>18582</v>
      </c>
      <c r="G239" s="4">
        <v>154314</v>
      </c>
      <c r="H239" s="2">
        <v>697</v>
      </c>
      <c r="I239" s="16">
        <v>12</v>
      </c>
      <c r="J239" s="1">
        <v>44811</v>
      </c>
      <c r="K239" s="3">
        <v>0.12039999999999999</v>
      </c>
      <c r="L239" s="13">
        <f t="shared" si="6"/>
        <v>4.5167645190974248</v>
      </c>
      <c r="M239" s="16">
        <f t="shared" si="7"/>
        <v>1548.5</v>
      </c>
    </row>
    <row r="240" spans="1:13" x14ac:dyDescent="0.3">
      <c r="A240">
        <v>100238</v>
      </c>
      <c r="B240" t="s">
        <v>18</v>
      </c>
      <c r="C240" t="s">
        <v>21</v>
      </c>
      <c r="D240" t="s">
        <v>17</v>
      </c>
      <c r="E240" s="1">
        <v>44800</v>
      </c>
      <c r="F240" s="4">
        <v>92770</v>
      </c>
      <c r="G240" s="4">
        <v>113163</v>
      </c>
      <c r="H240" s="2">
        <v>67</v>
      </c>
      <c r="I240" s="16">
        <v>13</v>
      </c>
      <c r="J240" s="1">
        <v>44813</v>
      </c>
      <c r="K240" s="3">
        <v>0.81979999999999997</v>
      </c>
      <c r="L240" s="13">
        <f t="shared" si="6"/>
        <v>0.59206631142687971</v>
      </c>
      <c r="M240" s="16">
        <f t="shared" si="7"/>
        <v>7136.1538461538457</v>
      </c>
    </row>
    <row r="241" spans="1:13" x14ac:dyDescent="0.3">
      <c r="A241">
        <v>100239</v>
      </c>
      <c r="B241" t="s">
        <v>18</v>
      </c>
      <c r="C241" t="s">
        <v>25</v>
      </c>
      <c r="D241" t="s">
        <v>17</v>
      </c>
      <c r="E241" s="1">
        <v>44801</v>
      </c>
      <c r="F241" s="4">
        <v>93064</v>
      </c>
      <c r="G241" s="4">
        <v>862422</v>
      </c>
      <c r="H241" s="2">
        <v>3473</v>
      </c>
      <c r="I241" s="16">
        <v>21</v>
      </c>
      <c r="J241" s="1">
        <v>44822</v>
      </c>
      <c r="K241" s="3">
        <v>0.1079</v>
      </c>
      <c r="L241" s="13">
        <f t="shared" si="6"/>
        <v>4.0270308503261738</v>
      </c>
      <c r="M241" s="16">
        <f t="shared" si="7"/>
        <v>4431.6190476190477</v>
      </c>
    </row>
    <row r="242" spans="1:13" x14ac:dyDescent="0.3">
      <c r="A242">
        <v>100240</v>
      </c>
      <c r="B242" t="s">
        <v>10</v>
      </c>
      <c r="C242" t="s">
        <v>14</v>
      </c>
      <c r="D242" t="s">
        <v>24</v>
      </c>
      <c r="E242" s="1">
        <v>44802</v>
      </c>
      <c r="F242" s="4">
        <v>78867</v>
      </c>
      <c r="G242" s="4">
        <v>186665</v>
      </c>
      <c r="H242" s="2">
        <v>4745</v>
      </c>
      <c r="I242" s="16">
        <v>1</v>
      </c>
      <c r="J242" s="1">
        <v>44803</v>
      </c>
      <c r="K242" s="3">
        <v>0.42249999999999999</v>
      </c>
      <c r="L242" s="13">
        <f t="shared" si="6"/>
        <v>25.419869820266253</v>
      </c>
      <c r="M242" s="16">
        <f t="shared" si="7"/>
        <v>78867</v>
      </c>
    </row>
    <row r="243" spans="1:13" x14ac:dyDescent="0.3">
      <c r="A243">
        <v>100241</v>
      </c>
      <c r="B243" t="s">
        <v>10</v>
      </c>
      <c r="C243" t="s">
        <v>23</v>
      </c>
      <c r="D243" t="s">
        <v>15</v>
      </c>
      <c r="E243" s="1">
        <v>44803</v>
      </c>
      <c r="F243" s="4">
        <v>76464</v>
      </c>
      <c r="G243" s="4">
        <v>314841</v>
      </c>
      <c r="H243" s="2">
        <v>3831</v>
      </c>
      <c r="I243" s="16">
        <v>20</v>
      </c>
      <c r="J243" s="1">
        <v>44823</v>
      </c>
      <c r="K243" s="3">
        <v>0.2429</v>
      </c>
      <c r="L243" s="13">
        <f t="shared" si="6"/>
        <v>12.168046728348594</v>
      </c>
      <c r="M243" s="16">
        <f t="shared" si="7"/>
        <v>3823.2</v>
      </c>
    </row>
    <row r="244" spans="1:13" x14ac:dyDescent="0.3">
      <c r="A244">
        <v>100242</v>
      </c>
      <c r="B244" t="s">
        <v>18</v>
      </c>
      <c r="C244" t="s">
        <v>25</v>
      </c>
      <c r="D244" t="s">
        <v>15</v>
      </c>
      <c r="E244" s="1">
        <v>44804</v>
      </c>
      <c r="F244" s="4">
        <v>85886</v>
      </c>
      <c r="G244" s="4">
        <v>917036</v>
      </c>
      <c r="H244" s="2">
        <v>2883</v>
      </c>
      <c r="I244" s="16">
        <v>20</v>
      </c>
      <c r="J244" s="1">
        <v>44824</v>
      </c>
      <c r="K244" s="3">
        <v>9.3700000000000006E-2</v>
      </c>
      <c r="L244" s="13">
        <f t="shared" si="6"/>
        <v>3.14382423372692</v>
      </c>
      <c r="M244" s="16">
        <f t="shared" si="7"/>
        <v>4294.3</v>
      </c>
    </row>
    <row r="245" spans="1:13" x14ac:dyDescent="0.3">
      <c r="A245">
        <v>100243</v>
      </c>
      <c r="B245" t="s">
        <v>13</v>
      </c>
      <c r="C245" t="s">
        <v>11</v>
      </c>
      <c r="D245" t="s">
        <v>24</v>
      </c>
      <c r="E245" s="1">
        <v>44805</v>
      </c>
      <c r="F245" s="4">
        <v>46330</v>
      </c>
      <c r="G245" s="4">
        <v>467935</v>
      </c>
      <c r="H245" s="2">
        <v>1213</v>
      </c>
      <c r="I245" s="16">
        <v>13</v>
      </c>
      <c r="J245" s="1">
        <v>44818</v>
      </c>
      <c r="K245" s="3">
        <v>9.9000000000000005E-2</v>
      </c>
      <c r="L245" s="13">
        <f t="shared" si="6"/>
        <v>2.5922403752657956</v>
      </c>
      <c r="M245" s="16">
        <f t="shared" si="7"/>
        <v>3563.8461538461538</v>
      </c>
    </row>
    <row r="246" spans="1:13" x14ac:dyDescent="0.3">
      <c r="A246">
        <v>100244</v>
      </c>
      <c r="B246" t="s">
        <v>13</v>
      </c>
      <c r="C246" t="s">
        <v>21</v>
      </c>
      <c r="D246" t="s">
        <v>22</v>
      </c>
      <c r="E246" s="1">
        <v>44806</v>
      </c>
      <c r="F246" s="4">
        <v>40502</v>
      </c>
      <c r="G246" s="4">
        <v>884245</v>
      </c>
      <c r="H246" s="2">
        <v>2356</v>
      </c>
      <c r="I246" s="16">
        <v>24</v>
      </c>
      <c r="J246" s="1">
        <v>44830</v>
      </c>
      <c r="K246" s="3">
        <v>4.58E-2</v>
      </c>
      <c r="L246" s="13">
        <f t="shared" si="6"/>
        <v>2.6644199288658688</v>
      </c>
      <c r="M246" s="16">
        <f t="shared" si="7"/>
        <v>1687.5833333333333</v>
      </c>
    </row>
    <row r="247" spans="1:13" x14ac:dyDescent="0.3">
      <c r="A247">
        <v>100245</v>
      </c>
      <c r="B247" t="s">
        <v>10</v>
      </c>
      <c r="C247" t="s">
        <v>14</v>
      </c>
      <c r="D247" t="s">
        <v>17</v>
      </c>
      <c r="E247" s="1">
        <v>44807</v>
      </c>
      <c r="F247" s="4">
        <v>191</v>
      </c>
      <c r="G247" s="4">
        <v>197238</v>
      </c>
      <c r="H247" s="2">
        <v>629</v>
      </c>
      <c r="I247" s="16">
        <v>5</v>
      </c>
      <c r="J247" s="1">
        <v>44812</v>
      </c>
      <c r="K247" s="3">
        <v>1E-3</v>
      </c>
      <c r="L247" s="13">
        <f t="shared" si="6"/>
        <v>3.1890406513957754</v>
      </c>
      <c r="M247" s="16">
        <f t="shared" si="7"/>
        <v>38.200000000000003</v>
      </c>
    </row>
    <row r="248" spans="1:13" x14ac:dyDescent="0.3">
      <c r="A248">
        <v>100246</v>
      </c>
      <c r="B248" t="s">
        <v>13</v>
      </c>
      <c r="C248" t="s">
        <v>16</v>
      </c>
      <c r="D248" t="s">
        <v>17</v>
      </c>
      <c r="E248" s="1">
        <v>44808</v>
      </c>
      <c r="F248" s="4">
        <v>94677</v>
      </c>
      <c r="G248" s="4">
        <v>758960</v>
      </c>
      <c r="H248" s="2">
        <v>1472</v>
      </c>
      <c r="I248" s="16">
        <v>19</v>
      </c>
      <c r="J248" s="1">
        <v>44827</v>
      </c>
      <c r="K248" s="3">
        <v>0.12470000000000001</v>
      </c>
      <c r="L248" s="13">
        <f t="shared" si="6"/>
        <v>1.9394961526299146</v>
      </c>
      <c r="M248" s="16">
        <f t="shared" si="7"/>
        <v>4983</v>
      </c>
    </row>
    <row r="249" spans="1:13" x14ac:dyDescent="0.3">
      <c r="A249">
        <v>100247</v>
      </c>
      <c r="B249" t="s">
        <v>13</v>
      </c>
      <c r="C249" t="s">
        <v>14</v>
      </c>
      <c r="D249" t="s">
        <v>15</v>
      </c>
      <c r="E249" s="1">
        <v>44809</v>
      </c>
      <c r="F249" s="4">
        <v>68777</v>
      </c>
      <c r="G249" s="4">
        <v>247452</v>
      </c>
      <c r="H249" s="2">
        <v>2629</v>
      </c>
      <c r="I249" s="16">
        <v>7</v>
      </c>
      <c r="J249" s="1">
        <v>44816</v>
      </c>
      <c r="K249" s="3">
        <v>0.27789999999999998</v>
      </c>
      <c r="L249" s="13">
        <f t="shared" si="6"/>
        <v>10.624282689168002</v>
      </c>
      <c r="M249" s="16">
        <f t="shared" si="7"/>
        <v>9825.2857142857138</v>
      </c>
    </row>
    <row r="250" spans="1:13" x14ac:dyDescent="0.3">
      <c r="A250">
        <v>100248</v>
      </c>
      <c r="B250" t="s">
        <v>18</v>
      </c>
      <c r="C250" t="s">
        <v>21</v>
      </c>
      <c r="D250" t="s">
        <v>22</v>
      </c>
      <c r="E250" s="1">
        <v>44810</v>
      </c>
      <c r="F250" s="4">
        <v>13547</v>
      </c>
      <c r="G250" s="4">
        <v>622216</v>
      </c>
      <c r="H250" s="2">
        <v>4450</v>
      </c>
      <c r="I250" s="16">
        <v>1</v>
      </c>
      <c r="J250" s="1">
        <v>44811</v>
      </c>
      <c r="K250" s="3">
        <v>2.18E-2</v>
      </c>
      <c r="L250" s="13">
        <f t="shared" si="6"/>
        <v>7.1518572328580428</v>
      </c>
      <c r="M250" s="16">
        <f t="shared" si="7"/>
        <v>13547</v>
      </c>
    </row>
    <row r="251" spans="1:13" x14ac:dyDescent="0.3">
      <c r="A251">
        <v>100249</v>
      </c>
      <c r="B251" t="s">
        <v>13</v>
      </c>
      <c r="C251" t="s">
        <v>20</v>
      </c>
      <c r="D251" t="s">
        <v>17</v>
      </c>
      <c r="E251" s="1">
        <v>44811</v>
      </c>
      <c r="F251" s="4">
        <v>5466</v>
      </c>
      <c r="G251" s="4">
        <v>203718</v>
      </c>
      <c r="H251" s="2">
        <v>1140</v>
      </c>
      <c r="I251" s="16">
        <v>10</v>
      </c>
      <c r="J251" s="1">
        <v>44821</v>
      </c>
      <c r="K251" s="3">
        <v>2.6800000000000001E-2</v>
      </c>
      <c r="L251" s="13">
        <f t="shared" si="6"/>
        <v>5.5959709009513148</v>
      </c>
      <c r="M251" s="16">
        <f t="shared" si="7"/>
        <v>546.6</v>
      </c>
    </row>
    <row r="252" spans="1:13" x14ac:dyDescent="0.3">
      <c r="A252">
        <v>100250</v>
      </c>
      <c r="B252" t="s">
        <v>13</v>
      </c>
      <c r="C252" t="s">
        <v>16</v>
      </c>
      <c r="D252" t="s">
        <v>17</v>
      </c>
      <c r="E252" s="1">
        <v>44812</v>
      </c>
      <c r="F252" s="4">
        <v>49946</v>
      </c>
      <c r="G252" s="4">
        <v>721736</v>
      </c>
      <c r="H252" s="2">
        <v>3766</v>
      </c>
      <c r="I252" s="16">
        <v>22</v>
      </c>
      <c r="J252" s="1">
        <v>44834</v>
      </c>
      <c r="K252" s="3">
        <v>6.9199999999999998E-2</v>
      </c>
      <c r="L252" s="13">
        <f t="shared" si="6"/>
        <v>5.2179744394072074</v>
      </c>
      <c r="M252" s="16">
        <f t="shared" si="7"/>
        <v>2270.2727272727275</v>
      </c>
    </row>
    <row r="253" spans="1:13" x14ac:dyDescent="0.3">
      <c r="A253">
        <v>100251</v>
      </c>
      <c r="B253" t="s">
        <v>10</v>
      </c>
      <c r="C253" t="s">
        <v>14</v>
      </c>
      <c r="D253" t="s">
        <v>17</v>
      </c>
      <c r="E253" s="1">
        <v>44813</v>
      </c>
      <c r="F253" s="4">
        <v>35919</v>
      </c>
      <c r="G253" s="4">
        <v>483840</v>
      </c>
      <c r="H253" s="2">
        <v>92</v>
      </c>
      <c r="I253" s="16">
        <v>7</v>
      </c>
      <c r="J253" s="1">
        <v>44820</v>
      </c>
      <c r="K253" s="3">
        <v>7.4200000000000002E-2</v>
      </c>
      <c r="L253" s="13">
        <f t="shared" si="6"/>
        <v>0.19014550264550265</v>
      </c>
      <c r="M253" s="16">
        <f t="shared" si="7"/>
        <v>5131.2857142857147</v>
      </c>
    </row>
    <row r="254" spans="1:13" x14ac:dyDescent="0.3">
      <c r="A254">
        <v>100252</v>
      </c>
      <c r="B254" t="s">
        <v>13</v>
      </c>
      <c r="C254" t="s">
        <v>20</v>
      </c>
      <c r="D254" t="s">
        <v>15</v>
      </c>
      <c r="E254" s="1">
        <v>44814</v>
      </c>
      <c r="F254" s="4">
        <v>61711</v>
      </c>
      <c r="G254" s="4">
        <v>878166</v>
      </c>
      <c r="H254" s="2">
        <v>4716</v>
      </c>
      <c r="I254" s="16">
        <v>6</v>
      </c>
      <c r="J254" s="1">
        <v>44820</v>
      </c>
      <c r="K254" s="3">
        <v>7.0300000000000001E-2</v>
      </c>
      <c r="L254" s="13">
        <f t="shared" si="6"/>
        <v>5.3702830672105275</v>
      </c>
      <c r="M254" s="16">
        <f t="shared" si="7"/>
        <v>10285.166666666666</v>
      </c>
    </row>
    <row r="255" spans="1:13" x14ac:dyDescent="0.3">
      <c r="A255">
        <v>100253</v>
      </c>
      <c r="B255" t="s">
        <v>18</v>
      </c>
      <c r="C255" t="s">
        <v>16</v>
      </c>
      <c r="D255" t="s">
        <v>22</v>
      </c>
      <c r="E255" s="1">
        <v>44815</v>
      </c>
      <c r="F255" s="4">
        <v>35034</v>
      </c>
      <c r="G255" s="4">
        <v>772087</v>
      </c>
      <c r="H255" s="2">
        <v>3334</v>
      </c>
      <c r="I255" s="16">
        <v>2</v>
      </c>
      <c r="J255" s="1">
        <v>44817</v>
      </c>
      <c r="K255" s="3">
        <v>4.5400000000000003E-2</v>
      </c>
      <c r="L255" s="13">
        <f t="shared" si="6"/>
        <v>4.3181662170195843</v>
      </c>
      <c r="M255" s="16">
        <f t="shared" si="7"/>
        <v>17517</v>
      </c>
    </row>
    <row r="256" spans="1:13" x14ac:dyDescent="0.3">
      <c r="A256">
        <v>100254</v>
      </c>
      <c r="B256" t="s">
        <v>18</v>
      </c>
      <c r="C256" t="s">
        <v>25</v>
      </c>
      <c r="D256" t="s">
        <v>17</v>
      </c>
      <c r="E256" s="1">
        <v>44816</v>
      </c>
      <c r="F256" s="4">
        <v>41915</v>
      </c>
      <c r="G256" s="4">
        <v>539331</v>
      </c>
      <c r="H256" s="2">
        <v>1928</v>
      </c>
      <c r="I256" s="16">
        <v>15</v>
      </c>
      <c r="J256" s="1">
        <v>44831</v>
      </c>
      <c r="K256" s="3">
        <v>7.7700000000000005E-2</v>
      </c>
      <c r="L256" s="13">
        <f t="shared" si="6"/>
        <v>3.5747991493164681</v>
      </c>
      <c r="M256" s="16">
        <f t="shared" si="7"/>
        <v>2794.3333333333335</v>
      </c>
    </row>
    <row r="257" spans="1:13" x14ac:dyDescent="0.3">
      <c r="A257">
        <v>100255</v>
      </c>
      <c r="B257" t="s">
        <v>10</v>
      </c>
      <c r="C257" t="s">
        <v>16</v>
      </c>
      <c r="D257" t="s">
        <v>17</v>
      </c>
      <c r="E257" s="1">
        <v>44817</v>
      </c>
      <c r="F257" s="4">
        <v>72041</v>
      </c>
      <c r="G257" s="4">
        <v>446014</v>
      </c>
      <c r="H257" s="2">
        <v>4934</v>
      </c>
      <c r="I257" s="16">
        <v>17</v>
      </c>
      <c r="J257" s="1">
        <v>44834</v>
      </c>
      <c r="K257" s="3">
        <v>0.1615</v>
      </c>
      <c r="L257" s="13">
        <f t="shared" si="6"/>
        <v>11.062433017797646</v>
      </c>
      <c r="M257" s="16">
        <f t="shared" si="7"/>
        <v>4237.7058823529414</v>
      </c>
    </row>
    <row r="258" spans="1:13" x14ac:dyDescent="0.3">
      <c r="A258">
        <v>100256</v>
      </c>
      <c r="B258" t="s">
        <v>10</v>
      </c>
      <c r="C258" t="s">
        <v>16</v>
      </c>
      <c r="D258" t="s">
        <v>22</v>
      </c>
      <c r="E258" s="1">
        <v>44818</v>
      </c>
      <c r="F258" s="4">
        <v>57747</v>
      </c>
      <c r="G258" s="4">
        <v>517697</v>
      </c>
      <c r="H258" s="2">
        <v>3517</v>
      </c>
      <c r="I258" s="16">
        <v>29</v>
      </c>
      <c r="J258" s="1">
        <v>44847</v>
      </c>
      <c r="K258" s="3">
        <v>0.1115</v>
      </c>
      <c r="L258" s="13">
        <f t="shared" ref="L258:L321" si="8">H258/G258*1000</f>
        <v>6.7935491223630811</v>
      </c>
      <c r="M258" s="16">
        <f t="shared" ref="M258:M321" si="9">IFERROR(F258/I258,"No Data")</f>
        <v>1991.2758620689656</v>
      </c>
    </row>
    <row r="259" spans="1:13" x14ac:dyDescent="0.3">
      <c r="A259">
        <v>100257</v>
      </c>
      <c r="B259" t="s">
        <v>18</v>
      </c>
      <c r="C259" t="s">
        <v>23</v>
      </c>
      <c r="D259" t="s">
        <v>24</v>
      </c>
      <c r="E259" s="1">
        <v>44819</v>
      </c>
      <c r="F259" s="4">
        <v>13732</v>
      </c>
      <c r="G259" s="4">
        <v>95555</v>
      </c>
      <c r="H259" s="2">
        <v>4106</v>
      </c>
      <c r="I259" s="16">
        <v>12</v>
      </c>
      <c r="J259" s="1">
        <v>44831</v>
      </c>
      <c r="K259" s="3">
        <v>0.14369999999999999</v>
      </c>
      <c r="L259" s="13">
        <f t="shared" si="8"/>
        <v>42.970017267542254</v>
      </c>
      <c r="M259" s="16">
        <f t="shared" si="9"/>
        <v>1144.3333333333333</v>
      </c>
    </row>
    <row r="260" spans="1:13" x14ac:dyDescent="0.3">
      <c r="A260">
        <v>100258</v>
      </c>
      <c r="B260" t="s">
        <v>18</v>
      </c>
      <c r="C260" t="s">
        <v>16</v>
      </c>
      <c r="D260" t="s">
        <v>22</v>
      </c>
      <c r="E260" s="1">
        <v>44820</v>
      </c>
      <c r="F260" s="4">
        <v>40531</v>
      </c>
      <c r="G260" s="4">
        <v>939775</v>
      </c>
      <c r="H260" s="2">
        <v>408</v>
      </c>
      <c r="I260" s="16">
        <v>27</v>
      </c>
      <c r="J260" s="1">
        <v>44847</v>
      </c>
      <c r="K260" s="3">
        <v>4.3099999999999999E-2</v>
      </c>
      <c r="L260" s="13">
        <f t="shared" si="8"/>
        <v>0.43414647122981564</v>
      </c>
      <c r="M260" s="16">
        <f t="shared" si="9"/>
        <v>1501.148148148148</v>
      </c>
    </row>
    <row r="261" spans="1:13" x14ac:dyDescent="0.3">
      <c r="A261">
        <v>100259</v>
      </c>
      <c r="B261" t="s">
        <v>13</v>
      </c>
      <c r="C261" t="s">
        <v>16</v>
      </c>
      <c r="D261" t="s">
        <v>15</v>
      </c>
      <c r="E261" s="1">
        <v>44821</v>
      </c>
      <c r="F261" s="4">
        <v>90828</v>
      </c>
      <c r="G261" s="4">
        <v>381955</v>
      </c>
      <c r="H261" s="2">
        <v>1474</v>
      </c>
      <c r="I261" s="16">
        <v>6</v>
      </c>
      <c r="J261" s="1">
        <v>44827</v>
      </c>
      <c r="K261" s="3">
        <v>0.23780000000000001</v>
      </c>
      <c r="L261" s="13">
        <f t="shared" si="8"/>
        <v>3.8590933486929089</v>
      </c>
      <c r="M261" s="16">
        <f t="shared" si="9"/>
        <v>15138</v>
      </c>
    </row>
    <row r="262" spans="1:13" x14ac:dyDescent="0.3">
      <c r="A262">
        <v>100260</v>
      </c>
      <c r="B262" t="s">
        <v>18</v>
      </c>
      <c r="C262" t="s">
        <v>23</v>
      </c>
      <c r="D262" t="s">
        <v>24</v>
      </c>
      <c r="E262" s="1">
        <v>44822</v>
      </c>
      <c r="F262" s="4">
        <v>23335</v>
      </c>
      <c r="G262" s="4">
        <v>116757</v>
      </c>
      <c r="H262" s="2">
        <v>2532</v>
      </c>
      <c r="I262" s="16">
        <v>10</v>
      </c>
      <c r="J262" s="1">
        <v>44832</v>
      </c>
      <c r="K262" s="3">
        <v>0.19989999999999999</v>
      </c>
      <c r="L262" s="13">
        <f t="shared" si="8"/>
        <v>21.686065931807086</v>
      </c>
      <c r="M262" s="16">
        <f t="shared" si="9"/>
        <v>2333.5</v>
      </c>
    </row>
    <row r="263" spans="1:13" x14ac:dyDescent="0.3">
      <c r="A263">
        <v>100261</v>
      </c>
      <c r="B263" t="s">
        <v>10</v>
      </c>
      <c r="C263" t="s">
        <v>21</v>
      </c>
      <c r="D263" t="s">
        <v>17</v>
      </c>
      <c r="E263" s="1">
        <v>44823</v>
      </c>
      <c r="F263" s="4">
        <v>47791</v>
      </c>
      <c r="G263" s="4">
        <v>215462</v>
      </c>
      <c r="H263" s="2">
        <v>3474</v>
      </c>
      <c r="I263" s="16">
        <v>3</v>
      </c>
      <c r="J263" s="1">
        <v>44826</v>
      </c>
      <c r="K263" s="3">
        <v>0.2218</v>
      </c>
      <c r="L263" s="13">
        <f t="shared" si="8"/>
        <v>16.123492773667749</v>
      </c>
      <c r="M263" s="16">
        <f t="shared" si="9"/>
        <v>15930.333333333334</v>
      </c>
    </row>
    <row r="264" spans="1:13" x14ac:dyDescent="0.3">
      <c r="A264">
        <v>100262</v>
      </c>
      <c r="B264" t="s">
        <v>18</v>
      </c>
      <c r="C264" t="s">
        <v>11</v>
      </c>
      <c r="D264" t="s">
        <v>22</v>
      </c>
      <c r="E264" s="1">
        <v>44824</v>
      </c>
      <c r="F264" s="4">
        <v>6054</v>
      </c>
      <c r="G264" s="4">
        <v>974255</v>
      </c>
      <c r="H264" s="2">
        <v>2372</v>
      </c>
      <c r="I264" s="16">
        <v>17</v>
      </c>
      <c r="J264" s="1">
        <v>44841</v>
      </c>
      <c r="K264" s="3">
        <v>6.1999999999999998E-3</v>
      </c>
      <c r="L264" s="13">
        <f t="shared" si="8"/>
        <v>2.4346808587074227</v>
      </c>
      <c r="M264" s="16">
        <f t="shared" si="9"/>
        <v>356.11764705882354</v>
      </c>
    </row>
    <row r="265" spans="1:13" x14ac:dyDescent="0.3">
      <c r="A265">
        <v>100263</v>
      </c>
      <c r="B265" t="s">
        <v>18</v>
      </c>
      <c r="C265" t="s">
        <v>21</v>
      </c>
      <c r="D265" t="s">
        <v>17</v>
      </c>
      <c r="E265" s="1">
        <v>44825</v>
      </c>
      <c r="F265" s="4">
        <v>39928</v>
      </c>
      <c r="G265" s="4">
        <v>200883</v>
      </c>
      <c r="H265" s="2">
        <v>1485</v>
      </c>
      <c r="I265" s="16">
        <v>17</v>
      </c>
      <c r="J265" s="1">
        <v>44842</v>
      </c>
      <c r="K265" s="3">
        <v>0.1988</v>
      </c>
      <c r="L265" s="13">
        <f t="shared" si="8"/>
        <v>7.3923627185973926</v>
      </c>
      <c r="M265" s="16">
        <f t="shared" si="9"/>
        <v>2348.705882352941</v>
      </c>
    </row>
    <row r="266" spans="1:13" x14ac:dyDescent="0.3">
      <c r="A266">
        <v>100264</v>
      </c>
      <c r="B266" t="s">
        <v>19</v>
      </c>
      <c r="C266" t="s">
        <v>11</v>
      </c>
      <c r="D266" t="s">
        <v>15</v>
      </c>
      <c r="E266" s="1">
        <v>44826</v>
      </c>
      <c r="F266" s="4">
        <v>6605</v>
      </c>
      <c r="G266" s="4">
        <v>116332</v>
      </c>
      <c r="H266" s="2">
        <v>4646</v>
      </c>
      <c r="I266" s="16">
        <v>2</v>
      </c>
      <c r="J266" s="1">
        <v>44828</v>
      </c>
      <c r="K266" s="3">
        <v>5.6800000000000003E-2</v>
      </c>
      <c r="L266" s="13">
        <f t="shared" si="8"/>
        <v>39.937420486194682</v>
      </c>
      <c r="M266" s="16">
        <f t="shared" si="9"/>
        <v>3302.5</v>
      </c>
    </row>
    <row r="267" spans="1:13" x14ac:dyDescent="0.3">
      <c r="A267">
        <v>100265</v>
      </c>
      <c r="B267" t="s">
        <v>18</v>
      </c>
      <c r="C267" t="s">
        <v>21</v>
      </c>
      <c r="D267" t="s">
        <v>15</v>
      </c>
      <c r="E267" s="1">
        <v>44827</v>
      </c>
      <c r="F267" s="4">
        <v>12032</v>
      </c>
      <c r="G267" s="4">
        <v>9581</v>
      </c>
      <c r="H267" s="2">
        <v>427</v>
      </c>
      <c r="I267" s="16">
        <v>20</v>
      </c>
      <c r="J267" s="1">
        <v>44847</v>
      </c>
      <c r="K267" s="3">
        <v>1.2558</v>
      </c>
      <c r="L267" s="13">
        <f t="shared" si="8"/>
        <v>44.567372925581886</v>
      </c>
      <c r="M267" s="16">
        <f t="shared" si="9"/>
        <v>601.6</v>
      </c>
    </row>
    <row r="268" spans="1:13" x14ac:dyDescent="0.3">
      <c r="A268">
        <v>100266</v>
      </c>
      <c r="B268" t="s">
        <v>18</v>
      </c>
      <c r="C268" t="s">
        <v>20</v>
      </c>
      <c r="D268" t="s">
        <v>15</v>
      </c>
      <c r="E268" s="1">
        <v>44828</v>
      </c>
      <c r="F268" s="4">
        <v>18373</v>
      </c>
      <c r="G268" s="4">
        <v>239106</v>
      </c>
      <c r="H268" s="2">
        <v>2873</v>
      </c>
      <c r="I268" s="16">
        <v>18</v>
      </c>
      <c r="J268" s="1">
        <v>44846</v>
      </c>
      <c r="K268" s="3">
        <v>7.6799999999999993E-2</v>
      </c>
      <c r="L268" s="13">
        <f t="shared" si="8"/>
        <v>12.015591411340576</v>
      </c>
      <c r="M268" s="16">
        <f t="shared" si="9"/>
        <v>1020.7222222222222</v>
      </c>
    </row>
    <row r="269" spans="1:13" x14ac:dyDescent="0.3">
      <c r="A269">
        <v>100267</v>
      </c>
      <c r="B269" t="s">
        <v>18</v>
      </c>
      <c r="C269" t="s">
        <v>23</v>
      </c>
      <c r="D269" t="s">
        <v>17</v>
      </c>
      <c r="E269" s="1">
        <v>44829</v>
      </c>
      <c r="F269" s="4">
        <v>84425</v>
      </c>
      <c r="G269" s="4">
        <v>986392</v>
      </c>
      <c r="H269" s="2">
        <v>4107</v>
      </c>
      <c r="I269" s="16">
        <v>17</v>
      </c>
      <c r="J269" s="1">
        <v>44846</v>
      </c>
      <c r="K269" s="3">
        <v>8.5599999999999996E-2</v>
      </c>
      <c r="L269" s="13">
        <f t="shared" si="8"/>
        <v>4.1636590726607681</v>
      </c>
      <c r="M269" s="16">
        <f t="shared" si="9"/>
        <v>4966.1764705882351</v>
      </c>
    </row>
    <row r="270" spans="1:13" x14ac:dyDescent="0.3">
      <c r="A270">
        <v>100268</v>
      </c>
      <c r="B270" t="s">
        <v>18</v>
      </c>
      <c r="C270" t="s">
        <v>20</v>
      </c>
      <c r="D270" t="s">
        <v>24</v>
      </c>
      <c r="E270" s="1">
        <v>44830</v>
      </c>
      <c r="F270" s="4">
        <v>86451</v>
      </c>
      <c r="G270" s="4">
        <v>701091</v>
      </c>
      <c r="H270" s="2">
        <v>1310</v>
      </c>
      <c r="I270" s="16">
        <v>28</v>
      </c>
      <c r="J270" s="1">
        <v>44858</v>
      </c>
      <c r="K270" s="3">
        <v>0.12330000000000001</v>
      </c>
      <c r="L270" s="13">
        <f t="shared" si="8"/>
        <v>1.8685163552235016</v>
      </c>
      <c r="M270" s="16">
        <f t="shared" si="9"/>
        <v>3087.5357142857142</v>
      </c>
    </row>
    <row r="271" spans="1:13" x14ac:dyDescent="0.3">
      <c r="A271">
        <v>100269</v>
      </c>
      <c r="B271" t="s">
        <v>18</v>
      </c>
      <c r="C271" t="s">
        <v>14</v>
      </c>
      <c r="D271" t="s">
        <v>15</v>
      </c>
      <c r="E271" s="1">
        <v>44831</v>
      </c>
      <c r="F271" s="4">
        <v>50461</v>
      </c>
      <c r="G271" s="4">
        <v>471815</v>
      </c>
      <c r="H271" s="2">
        <v>650</v>
      </c>
      <c r="I271" s="16">
        <v>20</v>
      </c>
      <c r="J271" s="1">
        <v>44851</v>
      </c>
      <c r="K271" s="3">
        <v>0.107</v>
      </c>
      <c r="L271" s="13">
        <f t="shared" si="8"/>
        <v>1.3776586161949069</v>
      </c>
      <c r="M271" s="16">
        <f t="shared" si="9"/>
        <v>2523.0500000000002</v>
      </c>
    </row>
    <row r="272" spans="1:13" x14ac:dyDescent="0.3">
      <c r="A272">
        <v>100270</v>
      </c>
      <c r="B272" t="s">
        <v>18</v>
      </c>
      <c r="C272" t="s">
        <v>16</v>
      </c>
      <c r="D272" t="s">
        <v>24</v>
      </c>
      <c r="E272" s="1">
        <v>44832</v>
      </c>
      <c r="F272" s="4">
        <v>20275</v>
      </c>
      <c r="G272" s="4">
        <v>422813</v>
      </c>
      <c r="H272" s="2">
        <v>4622</v>
      </c>
      <c r="I272" s="16">
        <v>19</v>
      </c>
      <c r="J272" s="1">
        <v>44851</v>
      </c>
      <c r="K272" s="3">
        <v>4.8000000000000001E-2</v>
      </c>
      <c r="L272" s="13">
        <f t="shared" si="8"/>
        <v>10.931546570233177</v>
      </c>
      <c r="M272" s="16">
        <f t="shared" si="9"/>
        <v>1067.1052631578948</v>
      </c>
    </row>
    <row r="273" spans="1:13" x14ac:dyDescent="0.3">
      <c r="A273">
        <v>100271</v>
      </c>
      <c r="B273" t="s">
        <v>18</v>
      </c>
      <c r="C273" t="s">
        <v>16</v>
      </c>
      <c r="D273" t="s">
        <v>15</v>
      </c>
      <c r="E273" s="1">
        <v>44833</v>
      </c>
      <c r="F273" s="4">
        <v>43738</v>
      </c>
      <c r="G273" s="4">
        <v>806430</v>
      </c>
      <c r="H273" s="2">
        <v>4982</v>
      </c>
      <c r="I273" s="16">
        <v>29</v>
      </c>
      <c r="J273" s="1">
        <v>44862</v>
      </c>
      <c r="K273" s="3">
        <v>5.4199999999999998E-2</v>
      </c>
      <c r="L273" s="13">
        <f t="shared" si="8"/>
        <v>6.1778455662611753</v>
      </c>
      <c r="M273" s="16">
        <f t="shared" si="9"/>
        <v>1508.2068965517242</v>
      </c>
    </row>
    <row r="274" spans="1:13" x14ac:dyDescent="0.3">
      <c r="A274">
        <v>100272</v>
      </c>
      <c r="B274" t="s">
        <v>18</v>
      </c>
      <c r="C274" t="s">
        <v>16</v>
      </c>
      <c r="D274" t="s">
        <v>24</v>
      </c>
      <c r="E274" s="1">
        <v>44834</v>
      </c>
      <c r="F274" s="4">
        <v>27206</v>
      </c>
      <c r="G274" s="4">
        <v>426648</v>
      </c>
      <c r="H274" s="2">
        <v>2540</v>
      </c>
      <c r="I274" s="16">
        <v>28</v>
      </c>
      <c r="J274" s="1">
        <v>44862</v>
      </c>
      <c r="K274" s="3">
        <v>6.3799999999999996E-2</v>
      </c>
      <c r="L274" s="13">
        <f t="shared" si="8"/>
        <v>5.9533854606139016</v>
      </c>
      <c r="M274" s="16">
        <f t="shared" si="9"/>
        <v>971.64285714285711</v>
      </c>
    </row>
    <row r="275" spans="1:13" x14ac:dyDescent="0.3">
      <c r="A275">
        <v>100273</v>
      </c>
      <c r="B275" t="s">
        <v>13</v>
      </c>
      <c r="C275" t="s">
        <v>23</v>
      </c>
      <c r="D275" t="s">
        <v>15</v>
      </c>
      <c r="E275" s="1">
        <v>44835</v>
      </c>
      <c r="F275" s="4">
        <v>19146</v>
      </c>
      <c r="G275" s="4">
        <v>799449</v>
      </c>
      <c r="H275" s="2">
        <v>1138</v>
      </c>
      <c r="I275" s="16">
        <v>23</v>
      </c>
      <c r="J275" s="1">
        <v>44858</v>
      </c>
      <c r="K275" s="3">
        <v>2.3900000000000001E-2</v>
      </c>
      <c r="L275" s="13">
        <f t="shared" si="8"/>
        <v>1.4234804221407493</v>
      </c>
      <c r="M275" s="16">
        <f t="shared" si="9"/>
        <v>832.43478260869563</v>
      </c>
    </row>
    <row r="276" spans="1:13" x14ac:dyDescent="0.3">
      <c r="A276">
        <v>100274</v>
      </c>
      <c r="B276" t="s">
        <v>13</v>
      </c>
      <c r="C276" t="s">
        <v>11</v>
      </c>
      <c r="D276" t="s">
        <v>15</v>
      </c>
      <c r="E276" s="1">
        <v>44836</v>
      </c>
      <c r="F276" s="4">
        <v>87235</v>
      </c>
      <c r="G276" s="4">
        <v>901370</v>
      </c>
      <c r="H276" s="2">
        <v>2181</v>
      </c>
      <c r="I276" s="16">
        <v>28</v>
      </c>
      <c r="J276" s="1">
        <v>44864</v>
      </c>
      <c r="K276" s="3">
        <v>9.6799999999999997E-2</v>
      </c>
      <c r="L276" s="13">
        <f t="shared" si="8"/>
        <v>2.4196500881990746</v>
      </c>
      <c r="M276" s="16">
        <f t="shared" si="9"/>
        <v>3115.5357142857142</v>
      </c>
    </row>
    <row r="277" spans="1:13" x14ac:dyDescent="0.3">
      <c r="A277">
        <v>100275</v>
      </c>
      <c r="B277" t="s">
        <v>18</v>
      </c>
      <c r="C277" t="s">
        <v>25</v>
      </c>
      <c r="D277" t="s">
        <v>12</v>
      </c>
      <c r="E277" s="1">
        <v>44837</v>
      </c>
      <c r="F277" s="4">
        <v>61675</v>
      </c>
      <c r="G277" s="4">
        <v>598723</v>
      </c>
      <c r="H277" s="2">
        <v>1405</v>
      </c>
      <c r="I277" s="16">
        <v>17</v>
      </c>
      <c r="J277" s="1">
        <v>44854</v>
      </c>
      <c r="K277" s="3">
        <v>0.10299999999999999</v>
      </c>
      <c r="L277" s="13">
        <f t="shared" si="8"/>
        <v>2.3466611438010565</v>
      </c>
      <c r="M277" s="16">
        <f t="shared" si="9"/>
        <v>3627.9411764705883</v>
      </c>
    </row>
    <row r="278" spans="1:13" x14ac:dyDescent="0.3">
      <c r="A278">
        <v>100276</v>
      </c>
      <c r="B278" t="s">
        <v>18</v>
      </c>
      <c r="C278" t="s">
        <v>25</v>
      </c>
      <c r="D278" t="s">
        <v>15</v>
      </c>
      <c r="E278" s="1">
        <v>44838</v>
      </c>
      <c r="F278" s="4">
        <v>36425</v>
      </c>
      <c r="G278" s="4">
        <v>695150</v>
      </c>
      <c r="H278" s="2">
        <v>454</v>
      </c>
      <c r="I278" s="16">
        <v>28</v>
      </c>
      <c r="J278" s="1">
        <v>44866</v>
      </c>
      <c r="K278" s="3">
        <v>5.2400000000000002E-2</v>
      </c>
      <c r="L278" s="13">
        <f t="shared" si="8"/>
        <v>0.6530964540027332</v>
      </c>
      <c r="M278" s="16">
        <f t="shared" si="9"/>
        <v>1300.8928571428571</v>
      </c>
    </row>
    <row r="279" spans="1:13" x14ac:dyDescent="0.3">
      <c r="A279">
        <v>100277</v>
      </c>
      <c r="B279" t="s">
        <v>13</v>
      </c>
      <c r="C279" t="s">
        <v>14</v>
      </c>
      <c r="D279" t="s">
        <v>15</v>
      </c>
      <c r="E279" s="1">
        <v>44839</v>
      </c>
      <c r="F279" s="4">
        <v>54787</v>
      </c>
      <c r="G279" s="4">
        <v>595581</v>
      </c>
      <c r="H279" s="2">
        <v>3687</v>
      </c>
      <c r="I279" s="16">
        <v>25</v>
      </c>
      <c r="J279" s="1">
        <v>44864</v>
      </c>
      <c r="K279" s="3">
        <v>9.1999999999999998E-2</v>
      </c>
      <c r="L279" s="13">
        <f t="shared" si="8"/>
        <v>6.1905937227681873</v>
      </c>
      <c r="M279" s="16">
        <f t="shared" si="9"/>
        <v>2191.48</v>
      </c>
    </row>
    <row r="280" spans="1:13" x14ac:dyDescent="0.3">
      <c r="A280">
        <v>100278</v>
      </c>
      <c r="B280" t="s">
        <v>10</v>
      </c>
      <c r="C280" t="s">
        <v>20</v>
      </c>
      <c r="D280" t="s">
        <v>15</v>
      </c>
      <c r="E280" s="1">
        <v>44840</v>
      </c>
      <c r="F280" s="4">
        <v>98733</v>
      </c>
      <c r="G280" s="4">
        <v>732621</v>
      </c>
      <c r="H280" s="2">
        <v>3242</v>
      </c>
      <c r="I280" s="16">
        <v>18</v>
      </c>
      <c r="J280" s="1">
        <v>44858</v>
      </c>
      <c r="K280" s="3">
        <v>0.1348</v>
      </c>
      <c r="L280" s="13">
        <f t="shared" si="8"/>
        <v>4.4252075766323928</v>
      </c>
      <c r="M280" s="16">
        <f t="shared" si="9"/>
        <v>5485.166666666667</v>
      </c>
    </row>
    <row r="281" spans="1:13" x14ac:dyDescent="0.3">
      <c r="A281">
        <v>100279</v>
      </c>
      <c r="B281" t="s">
        <v>10</v>
      </c>
      <c r="C281" t="s">
        <v>21</v>
      </c>
      <c r="D281" t="s">
        <v>12</v>
      </c>
      <c r="E281" s="1">
        <v>44841</v>
      </c>
      <c r="F281" s="4">
        <v>81201</v>
      </c>
      <c r="G281" s="4">
        <v>603306</v>
      </c>
      <c r="H281" s="2">
        <v>3876</v>
      </c>
      <c r="I281" s="16">
        <v>19</v>
      </c>
      <c r="J281" s="1">
        <v>44860</v>
      </c>
      <c r="K281" s="3">
        <v>0.1346</v>
      </c>
      <c r="L281" s="13">
        <f t="shared" si="8"/>
        <v>6.424600451512168</v>
      </c>
      <c r="M281" s="16">
        <f t="shared" si="9"/>
        <v>4273.7368421052633</v>
      </c>
    </row>
    <row r="282" spans="1:13" x14ac:dyDescent="0.3">
      <c r="A282">
        <v>100280</v>
      </c>
      <c r="B282" t="s">
        <v>18</v>
      </c>
      <c r="C282" t="s">
        <v>11</v>
      </c>
      <c r="D282" t="s">
        <v>22</v>
      </c>
      <c r="E282" s="1">
        <v>44842</v>
      </c>
      <c r="F282" s="4">
        <v>71176</v>
      </c>
      <c r="G282" s="4">
        <v>423793</v>
      </c>
      <c r="H282" s="2">
        <v>3049</v>
      </c>
      <c r="I282" s="16">
        <v>16</v>
      </c>
      <c r="J282" s="1">
        <v>44858</v>
      </c>
      <c r="K282" s="3">
        <v>0.16789999999999999</v>
      </c>
      <c r="L282" s="13">
        <f t="shared" si="8"/>
        <v>7.1945501695403173</v>
      </c>
      <c r="M282" s="16">
        <f t="shared" si="9"/>
        <v>4448.5</v>
      </c>
    </row>
    <row r="283" spans="1:13" x14ac:dyDescent="0.3">
      <c r="A283">
        <v>100281</v>
      </c>
      <c r="B283" t="s">
        <v>18</v>
      </c>
      <c r="C283" t="s">
        <v>23</v>
      </c>
      <c r="D283" t="s">
        <v>24</v>
      </c>
      <c r="E283" s="1">
        <v>44843</v>
      </c>
      <c r="F283" s="4">
        <v>66479</v>
      </c>
      <c r="G283" s="4">
        <v>614320</v>
      </c>
      <c r="H283" s="2">
        <v>2899</v>
      </c>
      <c r="I283" s="16">
        <v>21</v>
      </c>
      <c r="J283" s="1">
        <v>44864</v>
      </c>
      <c r="K283" s="3">
        <v>0.1082</v>
      </c>
      <c r="L283" s="13">
        <f t="shared" si="8"/>
        <v>4.7190389373616357</v>
      </c>
      <c r="M283" s="16">
        <f t="shared" si="9"/>
        <v>3165.6666666666665</v>
      </c>
    </row>
    <row r="284" spans="1:13" x14ac:dyDescent="0.3">
      <c r="A284">
        <v>100282</v>
      </c>
      <c r="B284" t="s">
        <v>18</v>
      </c>
      <c r="C284" t="s">
        <v>23</v>
      </c>
      <c r="D284" t="s">
        <v>24</v>
      </c>
      <c r="E284" s="1">
        <v>44844</v>
      </c>
      <c r="F284" s="4">
        <v>27668</v>
      </c>
      <c r="G284" s="4">
        <v>835501</v>
      </c>
      <c r="H284" s="2">
        <v>3288</v>
      </c>
      <c r="I284" s="16">
        <v>10</v>
      </c>
      <c r="J284" s="1">
        <v>44854</v>
      </c>
      <c r="K284" s="3">
        <v>3.3099999999999997E-2</v>
      </c>
      <c r="L284" s="13">
        <f t="shared" si="8"/>
        <v>3.935363332898465</v>
      </c>
      <c r="M284" s="16">
        <f t="shared" si="9"/>
        <v>2766.8</v>
      </c>
    </row>
    <row r="285" spans="1:13" x14ac:dyDescent="0.3">
      <c r="A285">
        <v>100283</v>
      </c>
      <c r="B285" t="s">
        <v>18</v>
      </c>
      <c r="C285" t="s">
        <v>16</v>
      </c>
      <c r="D285" t="s">
        <v>15</v>
      </c>
      <c r="E285" s="1">
        <v>44845</v>
      </c>
      <c r="F285" s="4">
        <v>91272</v>
      </c>
      <c r="G285" s="4">
        <v>904797</v>
      </c>
      <c r="H285" s="2">
        <v>2830</v>
      </c>
      <c r="I285" s="16">
        <v>2</v>
      </c>
      <c r="J285" s="1">
        <v>44847</v>
      </c>
      <c r="K285" s="3">
        <v>0.1009</v>
      </c>
      <c r="L285" s="13">
        <f t="shared" si="8"/>
        <v>3.1277734121576444</v>
      </c>
      <c r="M285" s="16">
        <f t="shared" si="9"/>
        <v>45636</v>
      </c>
    </row>
    <row r="286" spans="1:13" x14ac:dyDescent="0.3">
      <c r="A286">
        <v>100284</v>
      </c>
      <c r="B286" t="s">
        <v>13</v>
      </c>
      <c r="C286" t="s">
        <v>25</v>
      </c>
      <c r="D286" t="s">
        <v>24</v>
      </c>
      <c r="E286" s="1">
        <v>44846</v>
      </c>
      <c r="F286" s="4">
        <v>69439</v>
      </c>
      <c r="G286" s="4">
        <v>394871</v>
      </c>
      <c r="H286" s="2">
        <v>3928</v>
      </c>
      <c r="I286" s="16">
        <v>20</v>
      </c>
      <c r="J286" s="1">
        <v>44866</v>
      </c>
      <c r="K286" s="3">
        <v>0.1759</v>
      </c>
      <c r="L286" s="13">
        <f t="shared" si="8"/>
        <v>9.9475524918264444</v>
      </c>
      <c r="M286" s="16">
        <f t="shared" si="9"/>
        <v>3471.95</v>
      </c>
    </row>
    <row r="287" spans="1:13" x14ac:dyDescent="0.3">
      <c r="A287">
        <v>100285</v>
      </c>
      <c r="B287" t="s">
        <v>13</v>
      </c>
      <c r="C287" t="s">
        <v>23</v>
      </c>
      <c r="D287" t="s">
        <v>12</v>
      </c>
      <c r="E287" s="1">
        <v>44847</v>
      </c>
      <c r="F287" s="4">
        <v>32505</v>
      </c>
      <c r="G287" s="4">
        <v>46549</v>
      </c>
      <c r="H287" s="2">
        <v>2697</v>
      </c>
      <c r="I287" s="16">
        <v>10</v>
      </c>
      <c r="J287" s="1">
        <v>44857</v>
      </c>
      <c r="K287" s="3">
        <v>0.69830000000000003</v>
      </c>
      <c r="L287" s="13">
        <f t="shared" si="8"/>
        <v>57.938946056843328</v>
      </c>
      <c r="M287" s="16">
        <f t="shared" si="9"/>
        <v>3250.5</v>
      </c>
    </row>
    <row r="288" spans="1:13" x14ac:dyDescent="0.3">
      <c r="A288">
        <v>100286</v>
      </c>
      <c r="B288" t="s">
        <v>18</v>
      </c>
      <c r="C288" t="s">
        <v>16</v>
      </c>
      <c r="D288" t="s">
        <v>12</v>
      </c>
      <c r="E288" s="1">
        <v>44848</v>
      </c>
      <c r="F288" s="4">
        <v>59552</v>
      </c>
      <c r="G288" s="4">
        <v>171915</v>
      </c>
      <c r="H288" s="2">
        <v>2503</v>
      </c>
      <c r="I288" s="16">
        <v>19</v>
      </c>
      <c r="J288" s="1">
        <v>44867</v>
      </c>
      <c r="K288" s="3">
        <v>0.34639999999999999</v>
      </c>
      <c r="L288" s="13">
        <f t="shared" si="8"/>
        <v>14.559520693365908</v>
      </c>
      <c r="M288" s="16">
        <f t="shared" si="9"/>
        <v>3134.3157894736842</v>
      </c>
    </row>
    <row r="289" spans="1:13" x14ac:dyDescent="0.3">
      <c r="A289">
        <v>100287</v>
      </c>
      <c r="B289" t="s">
        <v>18</v>
      </c>
      <c r="C289" t="s">
        <v>20</v>
      </c>
      <c r="D289" t="s">
        <v>22</v>
      </c>
      <c r="E289" s="1">
        <v>44849</v>
      </c>
      <c r="F289" s="4">
        <v>5049</v>
      </c>
      <c r="G289" s="4">
        <v>261895</v>
      </c>
      <c r="H289" s="2">
        <v>1645</v>
      </c>
      <c r="I289" s="16">
        <v>12</v>
      </c>
      <c r="J289" s="1">
        <v>44861</v>
      </c>
      <c r="K289" s="3">
        <v>1.9300000000000001E-2</v>
      </c>
      <c r="L289" s="13">
        <f t="shared" si="8"/>
        <v>6.2811432062467789</v>
      </c>
      <c r="M289" s="16">
        <f t="shared" si="9"/>
        <v>420.75</v>
      </c>
    </row>
    <row r="290" spans="1:13" x14ac:dyDescent="0.3">
      <c r="A290">
        <v>100288</v>
      </c>
      <c r="B290" t="s">
        <v>13</v>
      </c>
      <c r="C290" t="s">
        <v>20</v>
      </c>
      <c r="D290" t="s">
        <v>17</v>
      </c>
      <c r="E290" s="1">
        <v>44850</v>
      </c>
      <c r="F290" s="4">
        <v>15643</v>
      </c>
      <c r="G290" s="4">
        <v>473703</v>
      </c>
      <c r="H290" s="2">
        <v>2497</v>
      </c>
      <c r="I290" s="16">
        <v>14</v>
      </c>
      <c r="J290" s="1">
        <v>44864</v>
      </c>
      <c r="K290" s="3">
        <v>3.3000000000000002E-2</v>
      </c>
      <c r="L290" s="13">
        <f t="shared" si="8"/>
        <v>5.2712353521088104</v>
      </c>
      <c r="M290" s="16">
        <f t="shared" si="9"/>
        <v>1117.3571428571429</v>
      </c>
    </row>
    <row r="291" spans="1:13" x14ac:dyDescent="0.3">
      <c r="A291">
        <v>100289</v>
      </c>
      <c r="B291" t="s">
        <v>18</v>
      </c>
      <c r="C291" t="s">
        <v>11</v>
      </c>
      <c r="D291" t="s">
        <v>15</v>
      </c>
      <c r="E291" s="1">
        <v>44851</v>
      </c>
      <c r="F291" s="4">
        <v>9506</v>
      </c>
      <c r="G291" s="4">
        <v>627382</v>
      </c>
      <c r="H291" s="2">
        <v>3930</v>
      </c>
      <c r="I291" s="16">
        <v>3</v>
      </c>
      <c r="J291" s="1">
        <v>44854</v>
      </c>
      <c r="K291" s="3">
        <v>1.52E-2</v>
      </c>
      <c r="L291" s="13">
        <f t="shared" si="8"/>
        <v>6.2641261623699753</v>
      </c>
      <c r="M291" s="16">
        <f t="shared" si="9"/>
        <v>3168.6666666666665</v>
      </c>
    </row>
    <row r="292" spans="1:13" x14ac:dyDescent="0.3">
      <c r="A292">
        <v>100290</v>
      </c>
      <c r="B292" t="s">
        <v>10</v>
      </c>
      <c r="C292" t="s">
        <v>21</v>
      </c>
      <c r="D292" t="s">
        <v>17</v>
      </c>
      <c r="E292" s="1">
        <v>44852</v>
      </c>
      <c r="F292" s="4">
        <v>1343</v>
      </c>
      <c r="G292" s="4">
        <v>802367</v>
      </c>
      <c r="H292" s="2">
        <v>3285</v>
      </c>
      <c r="I292" s="16">
        <v>13</v>
      </c>
      <c r="J292" s="1">
        <v>44865</v>
      </c>
      <c r="K292" s="3">
        <v>1.6999999999999999E-3</v>
      </c>
      <c r="L292" s="13">
        <f t="shared" si="8"/>
        <v>4.0941364737084154</v>
      </c>
      <c r="M292" s="16">
        <f t="shared" si="9"/>
        <v>103.30769230769231</v>
      </c>
    </row>
    <row r="293" spans="1:13" x14ac:dyDescent="0.3">
      <c r="A293">
        <v>100291</v>
      </c>
      <c r="B293" t="s">
        <v>18</v>
      </c>
      <c r="C293" t="s">
        <v>25</v>
      </c>
      <c r="D293" t="s">
        <v>17</v>
      </c>
      <c r="E293" s="1">
        <v>44853</v>
      </c>
      <c r="F293" s="4">
        <v>79486</v>
      </c>
      <c r="G293" s="4">
        <v>361704</v>
      </c>
      <c r="H293" s="2">
        <v>2359</v>
      </c>
      <c r="I293" s="16">
        <v>24</v>
      </c>
      <c r="J293" s="1">
        <v>44877</v>
      </c>
      <c r="K293" s="3">
        <v>0.2198</v>
      </c>
      <c r="L293" s="13">
        <f t="shared" si="8"/>
        <v>6.5219074160086699</v>
      </c>
      <c r="M293" s="16">
        <f t="shared" si="9"/>
        <v>3311.9166666666665</v>
      </c>
    </row>
    <row r="294" spans="1:13" x14ac:dyDescent="0.3">
      <c r="A294">
        <v>100292</v>
      </c>
      <c r="B294" t="s">
        <v>19</v>
      </c>
      <c r="C294" t="s">
        <v>23</v>
      </c>
      <c r="D294" t="s">
        <v>24</v>
      </c>
      <c r="E294" s="1">
        <v>44854</v>
      </c>
      <c r="F294" s="4">
        <v>92306</v>
      </c>
      <c r="G294" s="4">
        <v>332075</v>
      </c>
      <c r="H294" s="2">
        <v>2499</v>
      </c>
      <c r="I294" s="16">
        <v>24</v>
      </c>
      <c r="J294" s="1">
        <v>44878</v>
      </c>
      <c r="K294" s="3">
        <v>0.27800000000000002</v>
      </c>
      <c r="L294" s="13">
        <f t="shared" si="8"/>
        <v>7.5254084167733186</v>
      </c>
      <c r="M294" s="16">
        <f t="shared" si="9"/>
        <v>3846.0833333333335</v>
      </c>
    </row>
    <row r="295" spans="1:13" x14ac:dyDescent="0.3">
      <c r="A295">
        <v>100293</v>
      </c>
      <c r="B295" t="s">
        <v>18</v>
      </c>
      <c r="C295" t="s">
        <v>14</v>
      </c>
      <c r="D295" t="s">
        <v>15</v>
      </c>
      <c r="E295" s="1">
        <v>44855</v>
      </c>
      <c r="F295" s="4">
        <v>16549</v>
      </c>
      <c r="G295" s="4">
        <v>339629</v>
      </c>
      <c r="H295" s="2">
        <v>2989</v>
      </c>
      <c r="I295" s="16">
        <v>26</v>
      </c>
      <c r="J295" s="1">
        <v>44881</v>
      </c>
      <c r="K295" s="3">
        <v>4.87E-2</v>
      </c>
      <c r="L295" s="13">
        <f t="shared" si="8"/>
        <v>8.800779674291654</v>
      </c>
      <c r="M295" s="16">
        <f t="shared" si="9"/>
        <v>636.5</v>
      </c>
    </row>
    <row r="296" spans="1:13" x14ac:dyDescent="0.3">
      <c r="A296">
        <v>100294</v>
      </c>
      <c r="B296" t="s">
        <v>10</v>
      </c>
      <c r="C296" t="s">
        <v>16</v>
      </c>
      <c r="D296" t="s">
        <v>24</v>
      </c>
      <c r="E296" s="1">
        <v>44856</v>
      </c>
      <c r="F296" s="4">
        <v>24361</v>
      </c>
      <c r="G296" s="4">
        <v>56446</v>
      </c>
      <c r="H296" s="2">
        <v>2738</v>
      </c>
      <c r="I296" s="16">
        <v>4</v>
      </c>
      <c r="J296" s="1">
        <v>44860</v>
      </c>
      <c r="K296" s="3">
        <v>0.43159999999999998</v>
      </c>
      <c r="L296" s="13">
        <f t="shared" si="8"/>
        <v>48.506537221415158</v>
      </c>
      <c r="M296" s="16">
        <f t="shared" si="9"/>
        <v>6090.25</v>
      </c>
    </row>
    <row r="297" spans="1:13" x14ac:dyDescent="0.3">
      <c r="A297">
        <v>100295</v>
      </c>
      <c r="B297" t="s">
        <v>19</v>
      </c>
      <c r="C297" t="s">
        <v>25</v>
      </c>
      <c r="D297" t="s">
        <v>22</v>
      </c>
      <c r="E297" s="1">
        <v>44857</v>
      </c>
      <c r="F297" s="4">
        <v>46415</v>
      </c>
      <c r="G297" s="4">
        <v>94481</v>
      </c>
      <c r="H297" s="2">
        <v>2322</v>
      </c>
      <c r="I297" s="16">
        <v>5</v>
      </c>
      <c r="J297" s="1">
        <v>44862</v>
      </c>
      <c r="K297" s="3">
        <v>0.49130000000000001</v>
      </c>
      <c r="L297" s="13">
        <f t="shared" si="8"/>
        <v>24.576369852139585</v>
      </c>
      <c r="M297" s="16">
        <f t="shared" si="9"/>
        <v>9283</v>
      </c>
    </row>
    <row r="298" spans="1:13" x14ac:dyDescent="0.3">
      <c r="A298">
        <v>100296</v>
      </c>
      <c r="B298" t="s">
        <v>19</v>
      </c>
      <c r="C298" t="s">
        <v>14</v>
      </c>
      <c r="D298" t="s">
        <v>15</v>
      </c>
      <c r="E298" s="1">
        <v>44858</v>
      </c>
      <c r="F298" s="4">
        <v>48460</v>
      </c>
      <c r="G298" s="4">
        <v>151110</v>
      </c>
      <c r="H298" s="2">
        <v>3821</v>
      </c>
      <c r="I298" s="16">
        <v>2</v>
      </c>
      <c r="J298" s="1">
        <v>44860</v>
      </c>
      <c r="K298" s="3">
        <v>0.32069999999999999</v>
      </c>
      <c r="L298" s="13">
        <f t="shared" si="8"/>
        <v>25.286215339818675</v>
      </c>
      <c r="M298" s="16">
        <f t="shared" si="9"/>
        <v>24230</v>
      </c>
    </row>
    <row r="299" spans="1:13" x14ac:dyDescent="0.3">
      <c r="A299">
        <v>100297</v>
      </c>
      <c r="B299" t="s">
        <v>10</v>
      </c>
      <c r="C299" t="s">
        <v>16</v>
      </c>
      <c r="D299" t="s">
        <v>15</v>
      </c>
      <c r="E299" s="1">
        <v>44859</v>
      </c>
      <c r="F299" s="4">
        <v>88524</v>
      </c>
      <c r="G299" s="4">
        <v>179676</v>
      </c>
      <c r="H299" s="2">
        <v>2608</v>
      </c>
      <c r="I299" s="16">
        <v>16</v>
      </c>
      <c r="J299" s="1">
        <v>44875</v>
      </c>
      <c r="K299" s="3">
        <v>0.49270000000000003</v>
      </c>
      <c r="L299" s="13">
        <f t="shared" si="8"/>
        <v>14.515015917540461</v>
      </c>
      <c r="M299" s="16">
        <f t="shared" si="9"/>
        <v>5532.75</v>
      </c>
    </row>
    <row r="300" spans="1:13" x14ac:dyDescent="0.3">
      <c r="A300">
        <v>100298</v>
      </c>
      <c r="B300" t="s">
        <v>10</v>
      </c>
      <c r="C300" t="s">
        <v>16</v>
      </c>
      <c r="D300" t="s">
        <v>24</v>
      </c>
      <c r="E300" s="1">
        <v>44860</v>
      </c>
      <c r="F300" s="4">
        <v>38409</v>
      </c>
      <c r="G300" s="4">
        <v>795450</v>
      </c>
      <c r="H300" s="2">
        <v>879</v>
      </c>
      <c r="I300" s="16">
        <v>11</v>
      </c>
      <c r="J300" s="1">
        <v>44871</v>
      </c>
      <c r="K300" s="3">
        <v>4.8300000000000003E-2</v>
      </c>
      <c r="L300" s="13">
        <f t="shared" si="8"/>
        <v>1.1050348859136339</v>
      </c>
      <c r="M300" s="16">
        <f t="shared" si="9"/>
        <v>3491.7272727272725</v>
      </c>
    </row>
    <row r="301" spans="1:13" x14ac:dyDescent="0.3">
      <c r="A301">
        <v>100299</v>
      </c>
      <c r="B301" t="s">
        <v>13</v>
      </c>
      <c r="C301" t="s">
        <v>20</v>
      </c>
      <c r="D301" t="s">
        <v>22</v>
      </c>
      <c r="E301" s="1">
        <v>44861</v>
      </c>
      <c r="F301" s="4">
        <v>83705</v>
      </c>
      <c r="G301" s="4">
        <v>176491</v>
      </c>
      <c r="H301" s="2">
        <v>3356</v>
      </c>
      <c r="I301" s="16">
        <f t="shared" ref="I301" si="10">J301-E301</f>
        <v>4</v>
      </c>
      <c r="J301" s="1">
        <v>44865</v>
      </c>
      <c r="K301" s="3">
        <v>0.4743</v>
      </c>
      <c r="L301" s="13">
        <f t="shared" si="8"/>
        <v>19.015133916177032</v>
      </c>
      <c r="M301" s="16">
        <f t="shared" si="9"/>
        <v>20926.25</v>
      </c>
    </row>
    <row r="302" spans="1:13" x14ac:dyDescent="0.3">
      <c r="A302">
        <v>100300</v>
      </c>
      <c r="B302" t="s">
        <v>10</v>
      </c>
      <c r="C302" t="s">
        <v>25</v>
      </c>
      <c r="D302" t="s">
        <v>17</v>
      </c>
      <c r="E302" s="1">
        <v>44862</v>
      </c>
      <c r="F302" s="4">
        <v>50730</v>
      </c>
      <c r="G302" s="4">
        <v>967433</v>
      </c>
      <c r="H302" s="2">
        <v>595</v>
      </c>
      <c r="I302" s="16">
        <v>9</v>
      </c>
      <c r="J302" s="1">
        <v>44871</v>
      </c>
      <c r="K302" s="3">
        <v>5.2400000000000002E-2</v>
      </c>
      <c r="L302" s="13">
        <f t="shared" si="8"/>
        <v>0.61502967130540309</v>
      </c>
      <c r="M302" s="16">
        <f t="shared" si="9"/>
        <v>5636.666666666667</v>
      </c>
    </row>
    <row r="303" spans="1:13" x14ac:dyDescent="0.3">
      <c r="A303">
        <v>100301</v>
      </c>
      <c r="B303" t="s">
        <v>18</v>
      </c>
      <c r="C303" t="s">
        <v>25</v>
      </c>
      <c r="D303" t="s">
        <v>17</v>
      </c>
      <c r="E303" s="1">
        <v>44863</v>
      </c>
      <c r="F303" s="4">
        <v>85762</v>
      </c>
      <c r="G303" s="4">
        <v>520538</v>
      </c>
      <c r="H303" s="2">
        <v>1089</v>
      </c>
      <c r="I303" s="16">
        <v>24</v>
      </c>
      <c r="J303" s="1">
        <v>44887</v>
      </c>
      <c r="K303" s="3">
        <v>0.1648</v>
      </c>
      <c r="L303" s="13">
        <f t="shared" si="8"/>
        <v>2.0920662852663972</v>
      </c>
      <c r="M303" s="16">
        <f t="shared" si="9"/>
        <v>3573.4166666666665</v>
      </c>
    </row>
    <row r="304" spans="1:13" x14ac:dyDescent="0.3">
      <c r="A304">
        <v>100302</v>
      </c>
      <c r="B304" t="s">
        <v>13</v>
      </c>
      <c r="C304" t="s">
        <v>21</v>
      </c>
      <c r="D304" t="s">
        <v>24</v>
      </c>
      <c r="E304" s="1">
        <v>44864</v>
      </c>
      <c r="F304" s="4">
        <v>81930</v>
      </c>
      <c r="G304" s="4">
        <v>429459</v>
      </c>
      <c r="H304" s="2">
        <v>3373</v>
      </c>
      <c r="I304" s="16">
        <v>17</v>
      </c>
      <c r="J304" s="1">
        <v>44881</v>
      </c>
      <c r="K304" s="3">
        <v>0.1908</v>
      </c>
      <c r="L304" s="13">
        <f t="shared" si="8"/>
        <v>7.8540675594177785</v>
      </c>
      <c r="M304" s="16">
        <f t="shared" si="9"/>
        <v>4819.411764705882</v>
      </c>
    </row>
    <row r="305" spans="1:13" x14ac:dyDescent="0.3">
      <c r="A305">
        <v>100303</v>
      </c>
      <c r="B305" t="s">
        <v>13</v>
      </c>
      <c r="C305" t="s">
        <v>20</v>
      </c>
      <c r="D305" t="s">
        <v>22</v>
      </c>
      <c r="E305" s="1">
        <v>44865</v>
      </c>
      <c r="F305" s="4">
        <v>41825</v>
      </c>
      <c r="G305" s="4">
        <v>938483</v>
      </c>
      <c r="H305" s="2">
        <v>2722</v>
      </c>
      <c r="I305" s="16">
        <v>27</v>
      </c>
      <c r="J305" s="1">
        <v>44892</v>
      </c>
      <c r="K305" s="3">
        <v>4.4600000000000001E-2</v>
      </c>
      <c r="L305" s="13">
        <f t="shared" si="8"/>
        <v>2.9004254738764579</v>
      </c>
      <c r="M305" s="16">
        <f t="shared" si="9"/>
        <v>1549.0740740740741</v>
      </c>
    </row>
    <row r="306" spans="1:13" x14ac:dyDescent="0.3">
      <c r="A306">
        <v>100304</v>
      </c>
      <c r="B306" t="s">
        <v>10</v>
      </c>
      <c r="C306" t="s">
        <v>14</v>
      </c>
      <c r="D306" t="s">
        <v>15</v>
      </c>
      <c r="E306" s="1">
        <v>44866</v>
      </c>
      <c r="F306" s="4">
        <v>27913</v>
      </c>
      <c r="G306" s="4">
        <v>243484</v>
      </c>
      <c r="H306" s="2">
        <v>797</v>
      </c>
      <c r="I306" s="16">
        <v>4</v>
      </c>
      <c r="J306" s="1">
        <v>44870</v>
      </c>
      <c r="K306" s="3">
        <v>0.11459999999999999</v>
      </c>
      <c r="L306" s="13">
        <f t="shared" si="8"/>
        <v>3.2733157004156332</v>
      </c>
      <c r="M306" s="16">
        <f t="shared" si="9"/>
        <v>6978.25</v>
      </c>
    </row>
    <row r="307" spans="1:13" x14ac:dyDescent="0.3">
      <c r="A307">
        <v>100305</v>
      </c>
      <c r="B307" t="s">
        <v>13</v>
      </c>
      <c r="C307" t="s">
        <v>11</v>
      </c>
      <c r="D307" t="s">
        <v>15</v>
      </c>
      <c r="E307" s="1">
        <v>44867</v>
      </c>
      <c r="F307" s="4">
        <v>48574</v>
      </c>
      <c r="G307" s="4">
        <v>161921</v>
      </c>
      <c r="H307" s="2">
        <v>4938</v>
      </c>
      <c r="I307" s="16">
        <v>28</v>
      </c>
      <c r="J307" s="1">
        <v>44895</v>
      </c>
      <c r="K307" s="3">
        <v>0.3</v>
      </c>
      <c r="L307" s="13">
        <f t="shared" si="8"/>
        <v>30.496353159874261</v>
      </c>
      <c r="M307" s="16">
        <f t="shared" si="9"/>
        <v>1734.7857142857142</v>
      </c>
    </row>
    <row r="308" spans="1:13" x14ac:dyDescent="0.3">
      <c r="A308">
        <v>100306</v>
      </c>
      <c r="B308" t="s">
        <v>18</v>
      </c>
      <c r="C308" t="s">
        <v>25</v>
      </c>
      <c r="D308" t="s">
        <v>22</v>
      </c>
      <c r="E308" s="1">
        <v>44868</v>
      </c>
      <c r="F308" s="4">
        <v>69166</v>
      </c>
      <c r="G308" s="4">
        <v>267934</v>
      </c>
      <c r="H308" s="2">
        <v>521</v>
      </c>
      <c r="I308" s="16">
        <v>26</v>
      </c>
      <c r="J308" s="1">
        <v>44894</v>
      </c>
      <c r="K308" s="3">
        <v>0.2581</v>
      </c>
      <c r="L308" s="13">
        <f t="shared" si="8"/>
        <v>1.9445087222972823</v>
      </c>
      <c r="M308" s="16">
        <f t="shared" si="9"/>
        <v>2660.2307692307691</v>
      </c>
    </row>
    <row r="309" spans="1:13" x14ac:dyDescent="0.3">
      <c r="A309">
        <v>100307</v>
      </c>
      <c r="B309" t="s">
        <v>13</v>
      </c>
      <c r="C309" t="s">
        <v>20</v>
      </c>
      <c r="D309" t="s">
        <v>17</v>
      </c>
      <c r="E309" s="1">
        <v>44869</v>
      </c>
      <c r="F309" s="4">
        <v>89893</v>
      </c>
      <c r="G309" s="4">
        <v>318499</v>
      </c>
      <c r="H309" s="2">
        <v>3513</v>
      </c>
      <c r="I309" s="16">
        <v>5</v>
      </c>
      <c r="J309" s="1">
        <v>44874</v>
      </c>
      <c r="K309" s="3">
        <v>0.28220000000000001</v>
      </c>
      <c r="L309" s="13">
        <f t="shared" si="8"/>
        <v>11.029861946191355</v>
      </c>
      <c r="M309" s="16">
        <f t="shared" si="9"/>
        <v>17978.599999999999</v>
      </c>
    </row>
    <row r="310" spans="1:13" x14ac:dyDescent="0.3">
      <c r="A310">
        <v>100308</v>
      </c>
      <c r="B310" t="s">
        <v>18</v>
      </c>
      <c r="C310" t="s">
        <v>11</v>
      </c>
      <c r="D310" t="s">
        <v>15</v>
      </c>
      <c r="E310" s="1">
        <v>44870</v>
      </c>
      <c r="F310" s="4">
        <v>30164</v>
      </c>
      <c r="G310" s="4">
        <v>866948</v>
      </c>
      <c r="H310" s="2">
        <v>3859</v>
      </c>
      <c r="I310" s="16">
        <v>28</v>
      </c>
      <c r="J310" s="1">
        <v>44898</v>
      </c>
      <c r="K310" s="3">
        <v>3.4799999999999998E-2</v>
      </c>
      <c r="L310" s="13">
        <f t="shared" si="8"/>
        <v>4.4512473643171218</v>
      </c>
      <c r="M310" s="16">
        <f t="shared" si="9"/>
        <v>1077.2857142857142</v>
      </c>
    </row>
    <row r="311" spans="1:13" x14ac:dyDescent="0.3">
      <c r="A311">
        <v>100309</v>
      </c>
      <c r="B311" t="s">
        <v>18</v>
      </c>
      <c r="C311" t="s">
        <v>25</v>
      </c>
      <c r="D311" t="s">
        <v>12</v>
      </c>
      <c r="E311" s="1">
        <v>44871</v>
      </c>
      <c r="F311" s="4">
        <v>60380</v>
      </c>
      <c r="G311" s="4">
        <v>266968</v>
      </c>
      <c r="H311" s="2">
        <v>2234</v>
      </c>
      <c r="I311" s="16">
        <v>27</v>
      </c>
      <c r="J311" s="1">
        <v>44898</v>
      </c>
      <c r="K311" s="3">
        <v>0.22620000000000001</v>
      </c>
      <c r="L311" s="13">
        <f t="shared" si="8"/>
        <v>8.3680441101555232</v>
      </c>
      <c r="M311" s="16">
        <f t="shared" si="9"/>
        <v>2236.2962962962961</v>
      </c>
    </row>
    <row r="312" spans="1:13" x14ac:dyDescent="0.3">
      <c r="A312">
        <v>100310</v>
      </c>
      <c r="B312" t="s">
        <v>13</v>
      </c>
      <c r="C312" t="s">
        <v>20</v>
      </c>
      <c r="D312" t="s">
        <v>17</v>
      </c>
      <c r="E312" s="1">
        <v>44872</v>
      </c>
      <c r="F312" s="4">
        <v>71528</v>
      </c>
      <c r="G312" s="4">
        <v>874120</v>
      </c>
      <c r="H312" s="2">
        <v>3251</v>
      </c>
      <c r="I312" s="16">
        <v>4</v>
      </c>
      <c r="J312" s="1">
        <v>44876</v>
      </c>
      <c r="K312" s="3">
        <v>8.1799999999999998E-2</v>
      </c>
      <c r="L312" s="13">
        <f t="shared" si="8"/>
        <v>3.7191689928156317</v>
      </c>
      <c r="M312" s="16">
        <f t="shared" si="9"/>
        <v>17882</v>
      </c>
    </row>
    <row r="313" spans="1:13" x14ac:dyDescent="0.3">
      <c r="A313">
        <v>100311</v>
      </c>
      <c r="B313" t="s">
        <v>13</v>
      </c>
      <c r="C313" t="s">
        <v>23</v>
      </c>
      <c r="D313" t="s">
        <v>24</v>
      </c>
      <c r="E313" s="1">
        <v>44873</v>
      </c>
      <c r="F313" s="4">
        <v>23932</v>
      </c>
      <c r="G313" s="4">
        <v>350367</v>
      </c>
      <c r="H313" s="2">
        <v>2875</v>
      </c>
      <c r="I313" s="16">
        <v>19</v>
      </c>
      <c r="J313" s="1">
        <v>44892</v>
      </c>
      <c r="K313" s="3">
        <v>6.83E-2</v>
      </c>
      <c r="L313" s="13">
        <f t="shared" si="8"/>
        <v>8.2056814711431159</v>
      </c>
      <c r="M313" s="16">
        <f t="shared" si="9"/>
        <v>1259.578947368421</v>
      </c>
    </row>
    <row r="314" spans="1:13" x14ac:dyDescent="0.3">
      <c r="A314">
        <v>100312</v>
      </c>
      <c r="B314" t="s">
        <v>18</v>
      </c>
      <c r="C314" t="s">
        <v>25</v>
      </c>
      <c r="D314" t="s">
        <v>24</v>
      </c>
      <c r="E314" s="1">
        <v>44874</v>
      </c>
      <c r="F314" s="4">
        <v>37633</v>
      </c>
      <c r="G314" s="4">
        <v>216833</v>
      </c>
      <c r="H314" s="2">
        <v>3090</v>
      </c>
      <c r="I314" s="16">
        <v>14</v>
      </c>
      <c r="J314" s="1">
        <v>44888</v>
      </c>
      <c r="K314" s="3">
        <v>0.1736</v>
      </c>
      <c r="L314" s="13">
        <f t="shared" si="8"/>
        <v>14.250598386776922</v>
      </c>
      <c r="M314" s="16">
        <f t="shared" si="9"/>
        <v>2688.0714285714284</v>
      </c>
    </row>
    <row r="315" spans="1:13" x14ac:dyDescent="0.3">
      <c r="A315">
        <v>100313</v>
      </c>
      <c r="B315" t="s">
        <v>18</v>
      </c>
      <c r="C315" t="s">
        <v>20</v>
      </c>
      <c r="D315" t="s">
        <v>12</v>
      </c>
      <c r="E315" s="1">
        <v>44875</v>
      </c>
      <c r="F315" s="4">
        <v>82130</v>
      </c>
      <c r="G315" s="4">
        <v>455614</v>
      </c>
      <c r="H315" s="2">
        <v>2689</v>
      </c>
      <c r="I315" s="16">
        <v>20</v>
      </c>
      <c r="J315" s="1">
        <v>44895</v>
      </c>
      <c r="K315" s="3">
        <v>0.18029999999999999</v>
      </c>
      <c r="L315" s="13">
        <f t="shared" si="8"/>
        <v>5.9019257529399889</v>
      </c>
      <c r="M315" s="16">
        <f t="shared" si="9"/>
        <v>4106.5</v>
      </c>
    </row>
    <row r="316" spans="1:13" x14ac:dyDescent="0.3">
      <c r="A316">
        <v>100314</v>
      </c>
      <c r="B316" t="s">
        <v>18</v>
      </c>
      <c r="C316" t="s">
        <v>20</v>
      </c>
      <c r="D316" t="s">
        <v>22</v>
      </c>
      <c r="E316" s="1">
        <v>44876</v>
      </c>
      <c r="F316" s="4">
        <v>51555</v>
      </c>
      <c r="G316" s="4">
        <v>285844</v>
      </c>
      <c r="H316" s="2">
        <v>4983</v>
      </c>
      <c r="I316" s="16">
        <v>21</v>
      </c>
      <c r="J316" s="1">
        <v>44897</v>
      </c>
      <c r="K316" s="3">
        <v>0.1804</v>
      </c>
      <c r="L316" s="13">
        <f t="shared" si="8"/>
        <v>17.432585606134815</v>
      </c>
      <c r="M316" s="16">
        <f t="shared" si="9"/>
        <v>2455</v>
      </c>
    </row>
    <row r="317" spans="1:13" x14ac:dyDescent="0.3">
      <c r="A317">
        <v>100315</v>
      </c>
      <c r="B317" t="s">
        <v>18</v>
      </c>
      <c r="C317" t="s">
        <v>23</v>
      </c>
      <c r="D317" t="s">
        <v>12</v>
      </c>
      <c r="E317" s="1">
        <v>44877</v>
      </c>
      <c r="F317" s="4">
        <v>9788</v>
      </c>
      <c r="G317" s="4">
        <v>46599</v>
      </c>
      <c r="H317" s="2">
        <v>4576</v>
      </c>
      <c r="I317" s="16">
        <v>23</v>
      </c>
      <c r="J317" s="1">
        <v>44900</v>
      </c>
      <c r="K317" s="3">
        <v>0.21</v>
      </c>
      <c r="L317" s="13">
        <f t="shared" si="8"/>
        <v>98.199532178802116</v>
      </c>
      <c r="M317" s="16">
        <f t="shared" si="9"/>
        <v>425.56521739130437</v>
      </c>
    </row>
    <row r="318" spans="1:13" x14ac:dyDescent="0.3">
      <c r="A318">
        <v>100316</v>
      </c>
      <c r="B318" t="s">
        <v>18</v>
      </c>
      <c r="C318" t="s">
        <v>20</v>
      </c>
      <c r="D318" t="s">
        <v>15</v>
      </c>
      <c r="E318" s="1">
        <v>44878</v>
      </c>
      <c r="F318" s="4">
        <v>66098</v>
      </c>
      <c r="G318" s="4">
        <v>19101</v>
      </c>
      <c r="H318" s="2">
        <v>623</v>
      </c>
      <c r="I318" s="16">
        <v>20</v>
      </c>
      <c r="J318" s="1">
        <v>44898</v>
      </c>
      <c r="K318" s="3">
        <v>3.4603999999999999</v>
      </c>
      <c r="L318" s="13">
        <f t="shared" si="8"/>
        <v>32.616093398251401</v>
      </c>
      <c r="M318" s="16">
        <f t="shared" si="9"/>
        <v>3304.9</v>
      </c>
    </row>
    <row r="319" spans="1:13" x14ac:dyDescent="0.3">
      <c r="A319">
        <v>100317</v>
      </c>
      <c r="B319" t="s">
        <v>13</v>
      </c>
      <c r="C319" t="s">
        <v>25</v>
      </c>
      <c r="D319" t="s">
        <v>12</v>
      </c>
      <c r="E319" s="1">
        <v>44879</v>
      </c>
      <c r="F319" s="4">
        <v>51281</v>
      </c>
      <c r="G319" s="4">
        <v>66059</v>
      </c>
      <c r="H319" s="2">
        <v>4224</v>
      </c>
      <c r="I319" s="16">
        <v>9</v>
      </c>
      <c r="J319" s="1">
        <v>44888</v>
      </c>
      <c r="K319" s="3">
        <v>0.77629999999999999</v>
      </c>
      <c r="L319" s="13">
        <f t="shared" si="8"/>
        <v>63.942838977277887</v>
      </c>
      <c r="M319" s="16">
        <f t="shared" si="9"/>
        <v>5697.8888888888887</v>
      </c>
    </row>
    <row r="320" spans="1:13" x14ac:dyDescent="0.3">
      <c r="A320">
        <v>100318</v>
      </c>
      <c r="B320" t="s">
        <v>18</v>
      </c>
      <c r="C320" t="s">
        <v>11</v>
      </c>
      <c r="D320" t="s">
        <v>22</v>
      </c>
      <c r="E320" s="1">
        <v>44880</v>
      </c>
      <c r="F320" s="4">
        <v>57290</v>
      </c>
      <c r="G320" s="4">
        <v>138149</v>
      </c>
      <c r="H320" s="2">
        <v>1826</v>
      </c>
      <c r="I320" s="16">
        <v>28</v>
      </c>
      <c r="J320" s="1">
        <v>44908</v>
      </c>
      <c r="K320" s="3">
        <v>0.41470000000000001</v>
      </c>
      <c r="L320" s="13">
        <f t="shared" si="8"/>
        <v>13.217612867266501</v>
      </c>
      <c r="M320" s="16">
        <f t="shared" si="9"/>
        <v>2046.0714285714287</v>
      </c>
    </row>
    <row r="321" spans="1:13" x14ac:dyDescent="0.3">
      <c r="A321">
        <v>100319</v>
      </c>
      <c r="B321" t="s">
        <v>19</v>
      </c>
      <c r="C321" t="s">
        <v>16</v>
      </c>
      <c r="D321" t="s">
        <v>17</v>
      </c>
      <c r="E321" s="1">
        <v>44881</v>
      </c>
      <c r="F321" s="4">
        <v>14204</v>
      </c>
      <c r="G321" s="4">
        <v>722272</v>
      </c>
      <c r="H321" s="2">
        <v>3197</v>
      </c>
      <c r="I321" s="16">
        <v>23</v>
      </c>
      <c r="J321" s="1">
        <v>44904</v>
      </c>
      <c r="K321" s="3">
        <v>1.9699999999999999E-2</v>
      </c>
      <c r="L321" s="13">
        <f t="shared" si="8"/>
        <v>4.4263103096894243</v>
      </c>
      <c r="M321" s="16">
        <f t="shared" si="9"/>
        <v>617.56521739130437</v>
      </c>
    </row>
    <row r="322" spans="1:13" x14ac:dyDescent="0.3">
      <c r="A322">
        <v>100320</v>
      </c>
      <c r="B322" t="s">
        <v>19</v>
      </c>
      <c r="C322" t="s">
        <v>16</v>
      </c>
      <c r="D322" t="s">
        <v>17</v>
      </c>
      <c r="E322" s="1">
        <v>44882</v>
      </c>
      <c r="F322" s="4">
        <v>37594</v>
      </c>
      <c r="G322" s="4">
        <v>72072</v>
      </c>
      <c r="H322" s="2">
        <v>554</v>
      </c>
      <c r="I322" s="16">
        <v>16</v>
      </c>
      <c r="J322" s="1">
        <v>44898</v>
      </c>
      <c r="K322" s="3">
        <v>0.52159999999999995</v>
      </c>
      <c r="L322" s="13">
        <f t="shared" ref="L322:L385" si="11">H322/G322*1000</f>
        <v>7.6867576867576872</v>
      </c>
      <c r="M322" s="16">
        <f t="shared" ref="M322:M385" si="12">IFERROR(F322/I322,"No Data")</f>
        <v>2349.625</v>
      </c>
    </row>
    <row r="323" spans="1:13" x14ac:dyDescent="0.3">
      <c r="A323">
        <v>100321</v>
      </c>
      <c r="B323" t="s">
        <v>13</v>
      </c>
      <c r="C323" t="s">
        <v>11</v>
      </c>
      <c r="D323" t="s">
        <v>24</v>
      </c>
      <c r="E323" s="1">
        <v>44883</v>
      </c>
      <c r="F323" s="4">
        <v>4815</v>
      </c>
      <c r="G323" s="4">
        <v>868845</v>
      </c>
      <c r="H323" s="2">
        <v>866</v>
      </c>
      <c r="I323" s="16">
        <v>26</v>
      </c>
      <c r="J323" s="1">
        <v>44909</v>
      </c>
      <c r="K323" s="3">
        <v>5.4999999999999997E-3</v>
      </c>
      <c r="L323" s="13">
        <f t="shared" si="11"/>
        <v>0.99672553792678797</v>
      </c>
      <c r="M323" s="16">
        <f t="shared" si="12"/>
        <v>185.19230769230768</v>
      </c>
    </row>
    <row r="324" spans="1:13" x14ac:dyDescent="0.3">
      <c r="A324">
        <v>100322</v>
      </c>
      <c r="B324" t="s">
        <v>18</v>
      </c>
      <c r="C324" t="s">
        <v>23</v>
      </c>
      <c r="D324" t="s">
        <v>12</v>
      </c>
      <c r="E324" s="1">
        <v>44884</v>
      </c>
      <c r="F324" s="4">
        <v>63911</v>
      </c>
      <c r="G324" s="4">
        <v>686419</v>
      </c>
      <c r="H324" s="2">
        <v>4423</v>
      </c>
      <c r="I324" s="16">
        <v>17</v>
      </c>
      <c r="J324" s="1">
        <v>44901</v>
      </c>
      <c r="K324" s="3">
        <v>9.3100000000000002E-2</v>
      </c>
      <c r="L324" s="13">
        <f t="shared" si="11"/>
        <v>6.44358620609278</v>
      </c>
      <c r="M324" s="16">
        <f t="shared" si="12"/>
        <v>3759.4705882352941</v>
      </c>
    </row>
    <row r="325" spans="1:13" x14ac:dyDescent="0.3">
      <c r="A325">
        <v>100323</v>
      </c>
      <c r="B325" t="s">
        <v>13</v>
      </c>
      <c r="C325" t="s">
        <v>23</v>
      </c>
      <c r="D325" t="s">
        <v>15</v>
      </c>
      <c r="E325" s="1">
        <v>44885</v>
      </c>
      <c r="F325" s="4">
        <v>38228</v>
      </c>
      <c r="G325" s="4">
        <v>102486</v>
      </c>
      <c r="H325" s="2">
        <v>1277</v>
      </c>
      <c r="I325" s="16">
        <v>10</v>
      </c>
      <c r="J325" s="1">
        <v>44895</v>
      </c>
      <c r="K325" s="3">
        <v>0.373</v>
      </c>
      <c r="L325" s="13">
        <f t="shared" si="11"/>
        <v>12.460238471596121</v>
      </c>
      <c r="M325" s="16">
        <f t="shared" si="12"/>
        <v>3822.8</v>
      </c>
    </row>
    <row r="326" spans="1:13" x14ac:dyDescent="0.3">
      <c r="A326">
        <v>100324</v>
      </c>
      <c r="B326" t="s">
        <v>10</v>
      </c>
      <c r="C326" t="s">
        <v>23</v>
      </c>
      <c r="D326" t="s">
        <v>17</v>
      </c>
      <c r="E326" s="1">
        <v>44886</v>
      </c>
      <c r="F326" s="4">
        <v>49736</v>
      </c>
      <c r="G326" s="4">
        <v>756292</v>
      </c>
      <c r="H326" s="2">
        <v>4189</v>
      </c>
      <c r="I326" s="16">
        <v>6</v>
      </c>
      <c r="J326" s="1">
        <v>44892</v>
      </c>
      <c r="K326" s="3">
        <v>6.5799999999999997E-2</v>
      </c>
      <c r="L326" s="13">
        <f t="shared" si="11"/>
        <v>5.5388659406684191</v>
      </c>
      <c r="M326" s="16">
        <f t="shared" si="12"/>
        <v>8289.3333333333339</v>
      </c>
    </row>
    <row r="327" spans="1:13" x14ac:dyDescent="0.3">
      <c r="A327">
        <v>100325</v>
      </c>
      <c r="B327" t="s">
        <v>13</v>
      </c>
      <c r="C327" t="s">
        <v>25</v>
      </c>
      <c r="D327" t="s">
        <v>17</v>
      </c>
      <c r="E327" s="1">
        <v>44887</v>
      </c>
      <c r="F327" s="4">
        <v>59834</v>
      </c>
      <c r="G327" s="4">
        <v>715195</v>
      </c>
      <c r="H327" s="2">
        <v>821</v>
      </c>
      <c r="I327" s="16">
        <v>14</v>
      </c>
      <c r="J327" s="1">
        <v>44901</v>
      </c>
      <c r="K327" s="3">
        <v>8.3699999999999997E-2</v>
      </c>
      <c r="L327" s="13">
        <f t="shared" si="11"/>
        <v>1.1479386740679116</v>
      </c>
      <c r="M327" s="16">
        <f t="shared" si="12"/>
        <v>4273.8571428571431</v>
      </c>
    </row>
    <row r="328" spans="1:13" x14ac:dyDescent="0.3">
      <c r="A328">
        <v>100326</v>
      </c>
      <c r="B328" t="s">
        <v>10</v>
      </c>
      <c r="C328" t="s">
        <v>11</v>
      </c>
      <c r="D328" t="s">
        <v>17</v>
      </c>
      <c r="E328" s="1">
        <v>44888</v>
      </c>
      <c r="F328" s="4">
        <v>13154</v>
      </c>
      <c r="G328" s="4">
        <v>829853</v>
      </c>
      <c r="H328" s="2">
        <v>297</v>
      </c>
      <c r="I328" s="16">
        <v>6</v>
      </c>
      <c r="J328" s="1">
        <v>44894</v>
      </c>
      <c r="K328" s="3">
        <v>1.5900000000000001E-2</v>
      </c>
      <c r="L328" s="13">
        <f t="shared" si="11"/>
        <v>0.35789471147299584</v>
      </c>
      <c r="M328" s="16">
        <f t="shared" si="12"/>
        <v>2192.3333333333335</v>
      </c>
    </row>
    <row r="329" spans="1:13" x14ac:dyDescent="0.3">
      <c r="A329">
        <v>100327</v>
      </c>
      <c r="B329" t="s">
        <v>13</v>
      </c>
      <c r="C329" t="s">
        <v>20</v>
      </c>
      <c r="D329" t="s">
        <v>17</v>
      </c>
      <c r="E329" s="1">
        <v>44889</v>
      </c>
      <c r="F329" s="4">
        <v>25485</v>
      </c>
      <c r="G329" s="4">
        <v>92292</v>
      </c>
      <c r="H329" s="2">
        <v>4274</v>
      </c>
      <c r="I329" s="16">
        <v>29</v>
      </c>
      <c r="J329" s="1">
        <v>44918</v>
      </c>
      <c r="K329" s="3">
        <v>0.27610000000000001</v>
      </c>
      <c r="L329" s="13">
        <f t="shared" si="11"/>
        <v>46.309539288345682</v>
      </c>
      <c r="M329" s="16">
        <f t="shared" si="12"/>
        <v>878.79310344827582</v>
      </c>
    </row>
    <row r="330" spans="1:13" x14ac:dyDescent="0.3">
      <c r="A330">
        <v>100328</v>
      </c>
      <c r="B330" t="s">
        <v>13</v>
      </c>
      <c r="C330" t="s">
        <v>11</v>
      </c>
      <c r="D330" t="s">
        <v>15</v>
      </c>
      <c r="E330" s="1">
        <v>44890</v>
      </c>
      <c r="F330" s="4">
        <v>50090</v>
      </c>
      <c r="G330" s="4">
        <v>857413</v>
      </c>
      <c r="H330" s="2">
        <v>1236</v>
      </c>
      <c r="I330" s="16">
        <v>28</v>
      </c>
      <c r="J330" s="1">
        <v>44918</v>
      </c>
      <c r="K330" s="3">
        <v>5.8400000000000001E-2</v>
      </c>
      <c r="L330" s="13">
        <f t="shared" si="11"/>
        <v>1.4415456728554386</v>
      </c>
      <c r="M330" s="16">
        <f t="shared" si="12"/>
        <v>1788.9285714285713</v>
      </c>
    </row>
    <row r="331" spans="1:13" x14ac:dyDescent="0.3">
      <c r="A331">
        <v>100329</v>
      </c>
      <c r="B331" t="s">
        <v>18</v>
      </c>
      <c r="C331" t="s">
        <v>25</v>
      </c>
      <c r="D331" t="s">
        <v>22</v>
      </c>
      <c r="E331" s="1">
        <v>44891</v>
      </c>
      <c r="F331" s="4">
        <v>3867</v>
      </c>
      <c r="G331" s="4">
        <v>295191</v>
      </c>
      <c r="H331" s="2">
        <v>2637</v>
      </c>
      <c r="I331" s="16">
        <v>13</v>
      </c>
      <c r="J331" s="1">
        <v>44904</v>
      </c>
      <c r="K331" s="3">
        <v>1.3100000000000001E-2</v>
      </c>
      <c r="L331" s="13">
        <f t="shared" si="11"/>
        <v>8.9331991829019177</v>
      </c>
      <c r="M331" s="16">
        <f t="shared" si="12"/>
        <v>297.46153846153845</v>
      </c>
    </row>
    <row r="332" spans="1:13" x14ac:dyDescent="0.3">
      <c r="A332">
        <v>100330</v>
      </c>
      <c r="B332" t="s">
        <v>10</v>
      </c>
      <c r="C332" t="s">
        <v>20</v>
      </c>
      <c r="D332" t="s">
        <v>12</v>
      </c>
      <c r="E332" s="1">
        <v>44892</v>
      </c>
      <c r="F332" s="4">
        <v>49972</v>
      </c>
      <c r="G332" s="4">
        <v>796168</v>
      </c>
      <c r="H332" s="2">
        <v>3997</v>
      </c>
      <c r="I332" s="16">
        <v>27</v>
      </c>
      <c r="J332" s="1">
        <v>44919</v>
      </c>
      <c r="K332" s="3">
        <v>6.2799999999999995E-2</v>
      </c>
      <c r="L332" s="13">
        <f t="shared" si="11"/>
        <v>5.0202972237015304</v>
      </c>
      <c r="M332" s="16">
        <f t="shared" si="12"/>
        <v>1850.8148148148148</v>
      </c>
    </row>
    <row r="333" spans="1:13" x14ac:dyDescent="0.3">
      <c r="A333">
        <v>100331</v>
      </c>
      <c r="B333" t="s">
        <v>18</v>
      </c>
      <c r="C333" t="s">
        <v>20</v>
      </c>
      <c r="D333" t="s">
        <v>15</v>
      </c>
      <c r="E333" s="1">
        <v>44893</v>
      </c>
      <c r="F333" s="4">
        <v>65277</v>
      </c>
      <c r="G333" s="4">
        <v>761325</v>
      </c>
      <c r="H333" s="2">
        <v>2579</v>
      </c>
      <c r="I333" s="16">
        <v>4</v>
      </c>
      <c r="J333" s="1">
        <v>44897</v>
      </c>
      <c r="K333" s="3">
        <v>8.5699999999999998E-2</v>
      </c>
      <c r="L333" s="13">
        <f t="shared" si="11"/>
        <v>3.3875151873378653</v>
      </c>
      <c r="M333" s="16">
        <f t="shared" si="12"/>
        <v>16319.25</v>
      </c>
    </row>
    <row r="334" spans="1:13" x14ac:dyDescent="0.3">
      <c r="A334">
        <v>100332</v>
      </c>
      <c r="B334" t="s">
        <v>13</v>
      </c>
      <c r="C334" t="s">
        <v>20</v>
      </c>
      <c r="D334" t="s">
        <v>22</v>
      </c>
      <c r="E334" s="1">
        <v>44894</v>
      </c>
      <c r="F334" s="4">
        <v>97607</v>
      </c>
      <c r="G334" s="4">
        <v>213546</v>
      </c>
      <c r="H334" s="2">
        <v>958</v>
      </c>
      <c r="I334" s="16">
        <v>7</v>
      </c>
      <c r="J334" s="1">
        <v>44901</v>
      </c>
      <c r="K334" s="3">
        <v>0.45710000000000001</v>
      </c>
      <c r="L334" s="13">
        <f t="shared" si="11"/>
        <v>4.4861528663613459</v>
      </c>
      <c r="M334" s="16">
        <f t="shared" si="12"/>
        <v>13943.857142857143</v>
      </c>
    </row>
    <row r="335" spans="1:13" x14ac:dyDescent="0.3">
      <c r="A335">
        <v>100333</v>
      </c>
      <c r="B335" t="s">
        <v>10</v>
      </c>
      <c r="C335" t="s">
        <v>23</v>
      </c>
      <c r="D335" t="s">
        <v>22</v>
      </c>
      <c r="E335" s="1">
        <v>44895</v>
      </c>
      <c r="F335" s="4">
        <v>65701</v>
      </c>
      <c r="G335" s="4">
        <v>352557</v>
      </c>
      <c r="H335" s="2">
        <v>1164</v>
      </c>
      <c r="I335" s="16">
        <v>10</v>
      </c>
      <c r="J335" s="1">
        <v>44905</v>
      </c>
      <c r="K335" s="3">
        <v>0.18640000000000001</v>
      </c>
      <c r="L335" s="13">
        <f t="shared" si="11"/>
        <v>3.3015937848347927</v>
      </c>
      <c r="M335" s="16">
        <f t="shared" si="12"/>
        <v>6570.1</v>
      </c>
    </row>
    <row r="336" spans="1:13" x14ac:dyDescent="0.3">
      <c r="A336">
        <v>100334</v>
      </c>
      <c r="B336" t="s">
        <v>18</v>
      </c>
      <c r="C336" t="s">
        <v>16</v>
      </c>
      <c r="D336" t="s">
        <v>17</v>
      </c>
      <c r="E336" s="1">
        <v>44896</v>
      </c>
      <c r="F336" s="4">
        <v>65302</v>
      </c>
      <c r="G336" s="4">
        <v>654935</v>
      </c>
      <c r="H336" s="2">
        <v>4853</v>
      </c>
      <c r="I336" s="16">
        <v>9</v>
      </c>
      <c r="J336" s="1">
        <v>44905</v>
      </c>
      <c r="K336" s="3">
        <v>9.9699999999999997E-2</v>
      </c>
      <c r="L336" s="13">
        <f t="shared" si="11"/>
        <v>7.4098956384984769</v>
      </c>
      <c r="M336" s="16">
        <f t="shared" si="12"/>
        <v>7255.7777777777774</v>
      </c>
    </row>
    <row r="337" spans="1:13" x14ac:dyDescent="0.3">
      <c r="A337">
        <v>100335</v>
      </c>
      <c r="B337" t="s">
        <v>13</v>
      </c>
      <c r="C337" t="s">
        <v>16</v>
      </c>
      <c r="D337" t="s">
        <v>12</v>
      </c>
      <c r="E337" s="1">
        <v>44897</v>
      </c>
      <c r="F337" s="4">
        <v>65010</v>
      </c>
      <c r="G337" s="4">
        <v>106673</v>
      </c>
      <c r="H337" s="2">
        <v>1791</v>
      </c>
      <c r="I337" s="16">
        <v>7</v>
      </c>
      <c r="J337" s="1">
        <v>44904</v>
      </c>
      <c r="K337" s="3">
        <v>0.60940000000000005</v>
      </c>
      <c r="L337" s="13">
        <f t="shared" si="11"/>
        <v>16.789628115830624</v>
      </c>
      <c r="M337" s="16">
        <f t="shared" si="12"/>
        <v>9287.1428571428569</v>
      </c>
    </row>
    <row r="338" spans="1:13" x14ac:dyDescent="0.3">
      <c r="A338">
        <v>100336</v>
      </c>
      <c r="B338" t="s">
        <v>18</v>
      </c>
      <c r="C338" t="s">
        <v>16</v>
      </c>
      <c r="D338" t="s">
        <v>15</v>
      </c>
      <c r="E338" s="1">
        <v>44898</v>
      </c>
      <c r="F338" s="4">
        <v>92986</v>
      </c>
      <c r="G338" s="4">
        <v>798798</v>
      </c>
      <c r="H338" s="2">
        <v>1044</v>
      </c>
      <c r="I338" s="16">
        <v>15</v>
      </c>
      <c r="J338" s="1">
        <v>44913</v>
      </c>
      <c r="K338" s="3">
        <v>0.1164</v>
      </c>
      <c r="L338" s="13">
        <f t="shared" si="11"/>
        <v>1.3069637129787506</v>
      </c>
      <c r="M338" s="16">
        <f t="shared" si="12"/>
        <v>6199.0666666666666</v>
      </c>
    </row>
    <row r="339" spans="1:13" x14ac:dyDescent="0.3">
      <c r="A339">
        <v>100337</v>
      </c>
      <c r="B339" t="s">
        <v>10</v>
      </c>
      <c r="C339" t="s">
        <v>23</v>
      </c>
      <c r="D339" t="s">
        <v>17</v>
      </c>
      <c r="E339" s="1">
        <v>44899</v>
      </c>
      <c r="F339" s="4">
        <v>39700</v>
      </c>
      <c r="G339" s="4">
        <v>628474</v>
      </c>
      <c r="H339" s="2">
        <v>3156</v>
      </c>
      <c r="I339" s="16">
        <v>29</v>
      </c>
      <c r="J339" s="1">
        <v>44928</v>
      </c>
      <c r="K339" s="3">
        <v>6.3200000000000006E-2</v>
      </c>
      <c r="L339" s="13">
        <f t="shared" si="11"/>
        <v>5.0216874524642225</v>
      </c>
      <c r="M339" s="16">
        <f t="shared" si="12"/>
        <v>1368.9655172413793</v>
      </c>
    </row>
    <row r="340" spans="1:13" x14ac:dyDescent="0.3">
      <c r="A340">
        <v>100338</v>
      </c>
      <c r="B340" t="s">
        <v>18</v>
      </c>
      <c r="C340" t="s">
        <v>25</v>
      </c>
      <c r="D340" t="s">
        <v>12</v>
      </c>
      <c r="E340" s="1">
        <v>44900</v>
      </c>
      <c r="F340" s="4">
        <v>84258</v>
      </c>
      <c r="G340" s="4">
        <v>291493</v>
      </c>
      <c r="H340" s="2">
        <v>4738</v>
      </c>
      <c r="I340" s="16">
        <v>22</v>
      </c>
      <c r="J340" s="1">
        <v>44922</v>
      </c>
      <c r="K340" s="3">
        <v>0.28910000000000002</v>
      </c>
      <c r="L340" s="13">
        <f t="shared" si="11"/>
        <v>16.254249673234003</v>
      </c>
      <c r="M340" s="16">
        <f t="shared" si="12"/>
        <v>3829.909090909091</v>
      </c>
    </row>
    <row r="341" spans="1:13" x14ac:dyDescent="0.3">
      <c r="A341">
        <v>100339</v>
      </c>
      <c r="B341" t="s">
        <v>19</v>
      </c>
      <c r="C341" t="s">
        <v>11</v>
      </c>
      <c r="D341" t="s">
        <v>22</v>
      </c>
      <c r="E341" s="1">
        <v>44901</v>
      </c>
      <c r="F341" s="4">
        <v>15859</v>
      </c>
      <c r="G341" s="4">
        <v>176775</v>
      </c>
      <c r="H341" s="2">
        <v>1722</v>
      </c>
      <c r="I341" s="16">
        <v>3</v>
      </c>
      <c r="J341" s="1">
        <v>44904</v>
      </c>
      <c r="K341" s="3">
        <v>8.9700000000000002E-2</v>
      </c>
      <c r="L341" s="13">
        <f t="shared" si="11"/>
        <v>9.7411964361476446</v>
      </c>
      <c r="M341" s="16">
        <f t="shared" si="12"/>
        <v>5286.333333333333</v>
      </c>
    </row>
    <row r="342" spans="1:13" x14ac:dyDescent="0.3">
      <c r="A342">
        <v>100340</v>
      </c>
      <c r="B342" t="s">
        <v>18</v>
      </c>
      <c r="C342" t="s">
        <v>23</v>
      </c>
      <c r="D342" t="s">
        <v>17</v>
      </c>
      <c r="E342" s="1">
        <v>44902</v>
      </c>
      <c r="F342" s="4">
        <v>82193</v>
      </c>
      <c r="G342" s="4">
        <v>381042</v>
      </c>
      <c r="H342" s="2">
        <v>1978</v>
      </c>
      <c r="I342" s="16">
        <v>28</v>
      </c>
      <c r="J342" s="1">
        <v>44930</v>
      </c>
      <c r="K342" s="3">
        <v>0.2157</v>
      </c>
      <c r="L342" s="13">
        <f t="shared" si="11"/>
        <v>5.1910288104723366</v>
      </c>
      <c r="M342" s="16">
        <f t="shared" si="12"/>
        <v>2935.4642857142858</v>
      </c>
    </row>
    <row r="343" spans="1:13" x14ac:dyDescent="0.3">
      <c r="A343">
        <v>100341</v>
      </c>
      <c r="B343" t="s">
        <v>19</v>
      </c>
      <c r="C343" t="s">
        <v>14</v>
      </c>
      <c r="D343" t="s">
        <v>17</v>
      </c>
      <c r="E343" s="1">
        <v>44903</v>
      </c>
      <c r="F343" s="4">
        <v>144</v>
      </c>
      <c r="G343" s="4">
        <v>800823</v>
      </c>
      <c r="H343" s="2">
        <v>2865</v>
      </c>
      <c r="I343" s="16">
        <v>2</v>
      </c>
      <c r="J343" s="1">
        <v>44905</v>
      </c>
      <c r="K343" s="3">
        <v>2.0000000000000001E-4</v>
      </c>
      <c r="L343" s="13">
        <f t="shared" si="11"/>
        <v>3.5775695752994108</v>
      </c>
      <c r="M343" s="16">
        <f t="shared" si="12"/>
        <v>72</v>
      </c>
    </row>
    <row r="344" spans="1:13" x14ac:dyDescent="0.3">
      <c r="A344">
        <v>100342</v>
      </c>
      <c r="B344" t="s">
        <v>10</v>
      </c>
      <c r="C344" t="s">
        <v>21</v>
      </c>
      <c r="D344" t="s">
        <v>22</v>
      </c>
      <c r="E344" s="1">
        <v>44904</v>
      </c>
      <c r="F344" s="4">
        <v>68255</v>
      </c>
      <c r="G344" s="4">
        <v>228589</v>
      </c>
      <c r="H344" s="2">
        <v>3351</v>
      </c>
      <c r="I344" s="16">
        <v>28</v>
      </c>
      <c r="J344" s="1">
        <v>44932</v>
      </c>
      <c r="K344" s="3">
        <v>0.29859999999999998</v>
      </c>
      <c r="L344" s="13">
        <f t="shared" si="11"/>
        <v>14.659498051087322</v>
      </c>
      <c r="M344" s="16">
        <f t="shared" si="12"/>
        <v>2437.6785714285716</v>
      </c>
    </row>
    <row r="345" spans="1:13" x14ac:dyDescent="0.3">
      <c r="A345">
        <v>100343</v>
      </c>
      <c r="B345" t="s">
        <v>13</v>
      </c>
      <c r="C345" t="s">
        <v>20</v>
      </c>
      <c r="D345" t="s">
        <v>22</v>
      </c>
      <c r="E345" s="1">
        <v>44905</v>
      </c>
      <c r="F345" s="4">
        <v>50686</v>
      </c>
      <c r="G345" s="4">
        <v>711521</v>
      </c>
      <c r="H345" s="2">
        <v>1978</v>
      </c>
      <c r="I345" s="16">
        <v>19</v>
      </c>
      <c r="J345" s="1">
        <v>44924</v>
      </c>
      <c r="K345" s="3">
        <v>7.1199999999999999E-2</v>
      </c>
      <c r="L345" s="13">
        <f t="shared" si="11"/>
        <v>2.7799601136157612</v>
      </c>
      <c r="M345" s="16">
        <f t="shared" si="12"/>
        <v>2667.6842105263158</v>
      </c>
    </row>
    <row r="346" spans="1:13" x14ac:dyDescent="0.3">
      <c r="A346">
        <v>100344</v>
      </c>
      <c r="B346" t="s">
        <v>10</v>
      </c>
      <c r="C346" t="s">
        <v>14</v>
      </c>
      <c r="D346" t="s">
        <v>24</v>
      </c>
      <c r="E346" s="1">
        <v>44906</v>
      </c>
      <c r="F346" s="4">
        <v>19418</v>
      </c>
      <c r="G346" s="4">
        <v>249935</v>
      </c>
      <c r="H346" s="2">
        <v>1471</v>
      </c>
      <c r="I346" s="16">
        <v>13</v>
      </c>
      <c r="J346" s="1">
        <v>44919</v>
      </c>
      <c r="K346" s="3">
        <v>7.7700000000000005E-2</v>
      </c>
      <c r="L346" s="13">
        <f t="shared" si="11"/>
        <v>5.8855302378618441</v>
      </c>
      <c r="M346" s="16">
        <f t="shared" si="12"/>
        <v>1493.6923076923076</v>
      </c>
    </row>
    <row r="347" spans="1:13" x14ac:dyDescent="0.3">
      <c r="A347">
        <v>100345</v>
      </c>
      <c r="B347" t="s">
        <v>10</v>
      </c>
      <c r="C347" t="s">
        <v>20</v>
      </c>
      <c r="D347" t="s">
        <v>15</v>
      </c>
      <c r="E347" s="1">
        <v>44907</v>
      </c>
      <c r="F347" s="4">
        <v>38472</v>
      </c>
      <c r="G347" s="4">
        <v>799039</v>
      </c>
      <c r="H347" s="2">
        <v>176</v>
      </c>
      <c r="I347" s="16">
        <v>22</v>
      </c>
      <c r="J347" s="1">
        <v>44929</v>
      </c>
      <c r="K347" s="3">
        <v>4.8099999999999997E-2</v>
      </c>
      <c r="L347" s="13">
        <f t="shared" si="11"/>
        <v>0.22026459284215164</v>
      </c>
      <c r="M347" s="16">
        <f t="shared" si="12"/>
        <v>1748.7272727272727</v>
      </c>
    </row>
    <row r="348" spans="1:13" x14ac:dyDescent="0.3">
      <c r="A348">
        <v>100346</v>
      </c>
      <c r="B348" t="s">
        <v>19</v>
      </c>
      <c r="C348" t="s">
        <v>14</v>
      </c>
      <c r="D348" t="s">
        <v>17</v>
      </c>
      <c r="E348" s="1">
        <v>44908</v>
      </c>
      <c r="F348" s="4">
        <v>92938</v>
      </c>
      <c r="G348" s="4">
        <v>804843</v>
      </c>
      <c r="H348" s="2">
        <v>2992</v>
      </c>
      <c r="I348" s="16">
        <v>6</v>
      </c>
      <c r="J348" s="1">
        <v>44914</v>
      </c>
      <c r="K348" s="3">
        <v>0.11550000000000001</v>
      </c>
      <c r="L348" s="13">
        <f t="shared" si="11"/>
        <v>3.7174952133521693</v>
      </c>
      <c r="M348" s="16">
        <f t="shared" si="12"/>
        <v>15489.666666666666</v>
      </c>
    </row>
    <row r="349" spans="1:13" x14ac:dyDescent="0.3">
      <c r="A349">
        <v>100347</v>
      </c>
      <c r="B349" t="s">
        <v>18</v>
      </c>
      <c r="C349" t="s">
        <v>11</v>
      </c>
      <c r="D349" t="s">
        <v>17</v>
      </c>
      <c r="E349" s="1">
        <v>44909</v>
      </c>
      <c r="F349" s="4">
        <v>65510</v>
      </c>
      <c r="G349" s="4">
        <v>809575</v>
      </c>
      <c r="H349" s="2">
        <v>3375</v>
      </c>
      <c r="I349" s="16">
        <f t="shared" ref="I349" si="13">J349-E349</f>
        <v>24</v>
      </c>
      <c r="J349" s="1">
        <v>44933</v>
      </c>
      <c r="K349" s="3">
        <v>8.09E-2</v>
      </c>
      <c r="L349" s="13">
        <f t="shared" si="11"/>
        <v>4.168854028348207</v>
      </c>
      <c r="M349" s="16">
        <f t="shared" si="12"/>
        <v>2729.5833333333335</v>
      </c>
    </row>
    <row r="350" spans="1:13" x14ac:dyDescent="0.3">
      <c r="A350">
        <v>100348</v>
      </c>
      <c r="B350" t="s">
        <v>13</v>
      </c>
      <c r="C350" t="s">
        <v>25</v>
      </c>
      <c r="D350" t="s">
        <v>22</v>
      </c>
      <c r="E350" s="1">
        <v>44910</v>
      </c>
      <c r="F350" s="4">
        <v>61754</v>
      </c>
      <c r="G350" s="4">
        <v>460630</v>
      </c>
      <c r="H350" s="2">
        <v>4507</v>
      </c>
      <c r="I350" s="16">
        <v>6</v>
      </c>
      <c r="J350" s="1">
        <v>44916</v>
      </c>
      <c r="K350" s="3">
        <v>0.1341</v>
      </c>
      <c r="L350" s="13">
        <f t="shared" si="11"/>
        <v>9.7844256778759533</v>
      </c>
      <c r="M350" s="16">
        <f t="shared" si="12"/>
        <v>10292.333333333334</v>
      </c>
    </row>
    <row r="351" spans="1:13" x14ac:dyDescent="0.3">
      <c r="A351">
        <v>100349</v>
      </c>
      <c r="B351" t="s">
        <v>18</v>
      </c>
      <c r="C351" t="s">
        <v>20</v>
      </c>
      <c r="D351" t="s">
        <v>24</v>
      </c>
      <c r="E351" s="1">
        <v>44911</v>
      </c>
      <c r="F351" s="4">
        <v>31408</v>
      </c>
      <c r="G351" s="4">
        <v>816023</v>
      </c>
      <c r="H351" s="2">
        <v>3613</v>
      </c>
      <c r="I351" s="16">
        <v>24</v>
      </c>
      <c r="J351" s="1">
        <v>44935</v>
      </c>
      <c r="K351" s="3">
        <v>3.85E-2</v>
      </c>
      <c r="L351" s="13">
        <f t="shared" si="11"/>
        <v>4.4275712816918151</v>
      </c>
      <c r="M351" s="16">
        <f t="shared" si="12"/>
        <v>1308.6666666666667</v>
      </c>
    </row>
    <row r="352" spans="1:13" x14ac:dyDescent="0.3">
      <c r="A352">
        <v>100350</v>
      </c>
      <c r="B352" t="s">
        <v>13</v>
      </c>
      <c r="C352" t="s">
        <v>14</v>
      </c>
      <c r="D352" t="s">
        <v>17</v>
      </c>
      <c r="E352" s="1">
        <v>44912</v>
      </c>
      <c r="F352" s="4">
        <v>65241</v>
      </c>
      <c r="G352" s="4">
        <v>258444</v>
      </c>
      <c r="H352" s="2">
        <v>1825</v>
      </c>
      <c r="I352" s="16">
        <v>28</v>
      </c>
      <c r="J352" s="1">
        <v>44940</v>
      </c>
      <c r="K352" s="3">
        <v>0.25240000000000001</v>
      </c>
      <c r="L352" s="13">
        <f t="shared" si="11"/>
        <v>7.0614910773707269</v>
      </c>
      <c r="M352" s="16">
        <f t="shared" si="12"/>
        <v>2330.0357142857142</v>
      </c>
    </row>
    <row r="353" spans="1:13" x14ac:dyDescent="0.3">
      <c r="A353">
        <v>100351</v>
      </c>
      <c r="B353" t="s">
        <v>18</v>
      </c>
      <c r="C353" t="s">
        <v>23</v>
      </c>
      <c r="D353" t="s">
        <v>24</v>
      </c>
      <c r="E353" s="1">
        <v>44913</v>
      </c>
      <c r="F353" s="4">
        <v>96225</v>
      </c>
      <c r="G353" s="4">
        <v>828277</v>
      </c>
      <c r="H353" s="2">
        <v>3447</v>
      </c>
      <c r="I353" s="16">
        <v>28</v>
      </c>
      <c r="J353" s="1">
        <v>44941</v>
      </c>
      <c r="K353" s="3">
        <v>0.1162</v>
      </c>
      <c r="L353" s="13">
        <f t="shared" si="11"/>
        <v>4.1616512350336903</v>
      </c>
      <c r="M353" s="16">
        <f t="shared" si="12"/>
        <v>3436.6071428571427</v>
      </c>
    </row>
    <row r="354" spans="1:13" x14ac:dyDescent="0.3">
      <c r="A354">
        <v>100352</v>
      </c>
      <c r="B354" t="s">
        <v>13</v>
      </c>
      <c r="C354" t="s">
        <v>14</v>
      </c>
      <c r="D354" t="s">
        <v>22</v>
      </c>
      <c r="E354" s="1">
        <v>44914</v>
      </c>
      <c r="F354" s="4">
        <v>51904</v>
      </c>
      <c r="G354" s="4">
        <v>869198</v>
      </c>
      <c r="H354" s="2">
        <v>4426</v>
      </c>
      <c r="I354" s="16">
        <v>3</v>
      </c>
      <c r="J354" s="1">
        <v>44917</v>
      </c>
      <c r="K354" s="3">
        <v>5.9700000000000003E-2</v>
      </c>
      <c r="L354" s="13">
        <f t="shared" si="11"/>
        <v>5.092050372872464</v>
      </c>
      <c r="M354" s="16">
        <f t="shared" si="12"/>
        <v>17301.333333333332</v>
      </c>
    </row>
    <row r="355" spans="1:13" x14ac:dyDescent="0.3">
      <c r="A355">
        <v>100353</v>
      </c>
      <c r="B355" t="s">
        <v>13</v>
      </c>
      <c r="C355" t="s">
        <v>11</v>
      </c>
      <c r="D355" t="s">
        <v>22</v>
      </c>
      <c r="E355" s="1">
        <v>44915</v>
      </c>
      <c r="F355" s="4">
        <v>83800</v>
      </c>
      <c r="G355" s="4">
        <v>207124</v>
      </c>
      <c r="H355" s="2">
        <v>3</v>
      </c>
      <c r="I355" s="16">
        <v>15</v>
      </c>
      <c r="J355" s="1">
        <v>44930</v>
      </c>
      <c r="K355" s="3">
        <v>0.40460000000000002</v>
      </c>
      <c r="L355" s="13">
        <f t="shared" si="11"/>
        <v>1.4484077171163168E-2</v>
      </c>
      <c r="M355" s="16">
        <f t="shared" si="12"/>
        <v>5586.666666666667</v>
      </c>
    </row>
    <row r="356" spans="1:13" x14ac:dyDescent="0.3">
      <c r="A356">
        <v>100354</v>
      </c>
      <c r="B356" t="s">
        <v>13</v>
      </c>
      <c r="C356" t="s">
        <v>23</v>
      </c>
      <c r="D356" t="s">
        <v>12</v>
      </c>
      <c r="E356" s="1">
        <v>44916</v>
      </c>
      <c r="F356" s="4">
        <v>2907</v>
      </c>
      <c r="G356" s="4">
        <v>127428</v>
      </c>
      <c r="H356" s="2">
        <v>2906</v>
      </c>
      <c r="I356" s="16">
        <v>23</v>
      </c>
      <c r="J356" s="1">
        <v>44939</v>
      </c>
      <c r="K356" s="3">
        <v>2.2800000000000001E-2</v>
      </c>
      <c r="L356" s="13">
        <f t="shared" si="11"/>
        <v>22.805035000156952</v>
      </c>
      <c r="M356" s="16">
        <f t="shared" si="12"/>
        <v>126.39130434782609</v>
      </c>
    </row>
    <row r="357" spans="1:13" x14ac:dyDescent="0.3">
      <c r="A357">
        <v>100355</v>
      </c>
      <c r="B357" t="s">
        <v>13</v>
      </c>
      <c r="C357" t="s">
        <v>25</v>
      </c>
      <c r="D357" t="s">
        <v>12</v>
      </c>
      <c r="E357" s="1">
        <v>44917</v>
      </c>
      <c r="F357" s="4">
        <v>35730</v>
      </c>
      <c r="G357" s="4">
        <v>599529</v>
      </c>
      <c r="H357" s="2">
        <v>1210</v>
      </c>
      <c r="I357" s="16">
        <v>13</v>
      </c>
      <c r="J357" s="1">
        <v>44930</v>
      </c>
      <c r="K357" s="3">
        <v>5.96E-2</v>
      </c>
      <c r="L357" s="13">
        <f t="shared" si="11"/>
        <v>2.0182509936967188</v>
      </c>
      <c r="M357" s="16">
        <f t="shared" si="12"/>
        <v>2748.4615384615386</v>
      </c>
    </row>
    <row r="358" spans="1:13" x14ac:dyDescent="0.3">
      <c r="A358">
        <v>100356</v>
      </c>
      <c r="B358" t="s">
        <v>10</v>
      </c>
      <c r="C358" t="s">
        <v>25</v>
      </c>
      <c r="D358" t="s">
        <v>22</v>
      </c>
      <c r="E358" s="1">
        <v>44918</v>
      </c>
      <c r="F358" s="4">
        <v>79234</v>
      </c>
      <c r="G358" s="4">
        <v>193759</v>
      </c>
      <c r="H358" s="2">
        <v>2459</v>
      </c>
      <c r="I358" s="16">
        <v>21</v>
      </c>
      <c r="J358" s="1">
        <v>44939</v>
      </c>
      <c r="K358" s="3">
        <v>0.40889999999999999</v>
      </c>
      <c r="L358" s="13">
        <f t="shared" si="11"/>
        <v>12.691023384720195</v>
      </c>
      <c r="M358" s="16">
        <f t="shared" si="12"/>
        <v>3773.0476190476193</v>
      </c>
    </row>
    <row r="359" spans="1:13" x14ac:dyDescent="0.3">
      <c r="A359">
        <v>100357</v>
      </c>
      <c r="B359" t="s">
        <v>10</v>
      </c>
      <c r="C359" t="s">
        <v>16</v>
      </c>
      <c r="D359" t="s">
        <v>22</v>
      </c>
      <c r="E359" s="1">
        <v>44919</v>
      </c>
      <c r="F359" s="4">
        <v>89642</v>
      </c>
      <c r="G359" s="4">
        <v>519283</v>
      </c>
      <c r="H359" s="2">
        <v>4721</v>
      </c>
      <c r="I359" s="16">
        <v>2</v>
      </c>
      <c r="J359" s="1">
        <v>44921</v>
      </c>
      <c r="K359" s="3">
        <v>0.1726</v>
      </c>
      <c r="L359" s="13">
        <f t="shared" si="11"/>
        <v>9.0913817706337401</v>
      </c>
      <c r="M359" s="16">
        <f t="shared" si="12"/>
        <v>44821</v>
      </c>
    </row>
    <row r="360" spans="1:13" x14ac:dyDescent="0.3">
      <c r="A360">
        <v>100358</v>
      </c>
      <c r="B360" t="s">
        <v>13</v>
      </c>
      <c r="C360" t="s">
        <v>16</v>
      </c>
      <c r="D360" t="s">
        <v>12</v>
      </c>
      <c r="E360" s="1">
        <v>44920</v>
      </c>
      <c r="F360" s="4">
        <v>29708</v>
      </c>
      <c r="G360" s="4">
        <v>300040</v>
      </c>
      <c r="H360" s="2">
        <v>1995</v>
      </c>
      <c r="I360" s="16">
        <v>9</v>
      </c>
      <c r="J360" s="1">
        <v>44929</v>
      </c>
      <c r="K360" s="3">
        <v>9.9000000000000005E-2</v>
      </c>
      <c r="L360" s="13">
        <f t="shared" si="11"/>
        <v>6.6491134515397947</v>
      </c>
      <c r="M360" s="16">
        <f t="shared" si="12"/>
        <v>3300.8888888888887</v>
      </c>
    </row>
    <row r="361" spans="1:13" x14ac:dyDescent="0.3">
      <c r="A361">
        <v>100359</v>
      </c>
      <c r="B361" t="s">
        <v>13</v>
      </c>
      <c r="C361" t="s">
        <v>14</v>
      </c>
      <c r="D361" t="s">
        <v>24</v>
      </c>
      <c r="E361" s="1">
        <v>44921</v>
      </c>
      <c r="F361" s="4">
        <v>31165</v>
      </c>
      <c r="G361" s="4">
        <v>484316</v>
      </c>
      <c r="H361" s="2">
        <v>736</v>
      </c>
      <c r="I361" s="16">
        <v>20</v>
      </c>
      <c r="J361" s="1">
        <v>44941</v>
      </c>
      <c r="K361" s="3">
        <v>6.4299999999999996E-2</v>
      </c>
      <c r="L361" s="13">
        <f t="shared" si="11"/>
        <v>1.5196689764533899</v>
      </c>
      <c r="M361" s="16">
        <f t="shared" si="12"/>
        <v>1558.25</v>
      </c>
    </row>
    <row r="362" spans="1:13" x14ac:dyDescent="0.3">
      <c r="A362">
        <v>100360</v>
      </c>
      <c r="B362" t="s">
        <v>19</v>
      </c>
      <c r="C362" t="s">
        <v>14</v>
      </c>
      <c r="D362" t="s">
        <v>22</v>
      </c>
      <c r="E362" s="1">
        <v>44922</v>
      </c>
      <c r="F362" s="4">
        <v>24193</v>
      </c>
      <c r="G362" s="4">
        <v>587882</v>
      </c>
      <c r="H362" s="2">
        <v>1200</v>
      </c>
      <c r="I362" s="16">
        <v>6</v>
      </c>
      <c r="J362" s="1">
        <v>44928</v>
      </c>
      <c r="K362" s="3">
        <v>4.1200000000000001E-2</v>
      </c>
      <c r="L362" s="13">
        <f t="shared" si="11"/>
        <v>2.0412259603117633</v>
      </c>
      <c r="M362" s="16">
        <f t="shared" si="12"/>
        <v>4032.1666666666665</v>
      </c>
    </row>
    <row r="363" spans="1:13" x14ac:dyDescent="0.3">
      <c r="A363">
        <v>100361</v>
      </c>
      <c r="B363" t="s">
        <v>18</v>
      </c>
      <c r="C363" t="s">
        <v>21</v>
      </c>
      <c r="D363" t="s">
        <v>24</v>
      </c>
      <c r="E363" s="1">
        <v>44923</v>
      </c>
      <c r="F363" s="4">
        <v>75015</v>
      </c>
      <c r="G363" s="4">
        <v>679478</v>
      </c>
      <c r="H363" s="2">
        <v>2953</v>
      </c>
      <c r="I363" s="16">
        <v>29</v>
      </c>
      <c r="J363" s="1">
        <v>44952</v>
      </c>
      <c r="K363" s="3">
        <v>0.1104</v>
      </c>
      <c r="L363" s="13">
        <f t="shared" si="11"/>
        <v>4.3459832400754692</v>
      </c>
      <c r="M363" s="16">
        <f t="shared" si="12"/>
        <v>2586.7241379310344</v>
      </c>
    </row>
    <row r="364" spans="1:13" x14ac:dyDescent="0.3">
      <c r="A364">
        <v>100362</v>
      </c>
      <c r="B364" t="s">
        <v>18</v>
      </c>
      <c r="C364" t="s">
        <v>21</v>
      </c>
      <c r="D364" t="s">
        <v>12</v>
      </c>
      <c r="E364" s="1">
        <v>44924</v>
      </c>
      <c r="F364" s="4">
        <v>69745</v>
      </c>
      <c r="G364" s="4">
        <v>888747</v>
      </c>
      <c r="H364" s="2">
        <v>1178</v>
      </c>
      <c r="I364" s="16">
        <v>6</v>
      </c>
      <c r="J364" s="1">
        <v>44930</v>
      </c>
      <c r="K364" s="3">
        <v>7.85E-2</v>
      </c>
      <c r="L364" s="13">
        <f t="shared" si="11"/>
        <v>1.3254615768041973</v>
      </c>
      <c r="M364" s="16">
        <f t="shared" si="12"/>
        <v>11624.166666666666</v>
      </c>
    </row>
    <row r="365" spans="1:13" x14ac:dyDescent="0.3">
      <c r="A365">
        <v>100363</v>
      </c>
      <c r="B365" t="s">
        <v>18</v>
      </c>
      <c r="C365" t="s">
        <v>20</v>
      </c>
      <c r="D365" t="s">
        <v>15</v>
      </c>
      <c r="E365" s="1">
        <v>44925</v>
      </c>
      <c r="F365" s="4">
        <v>25308</v>
      </c>
      <c r="G365" s="4">
        <v>344189</v>
      </c>
      <c r="H365" s="2">
        <v>518</v>
      </c>
      <c r="I365" s="16">
        <v>13</v>
      </c>
      <c r="J365" s="1">
        <v>44938</v>
      </c>
      <c r="K365" s="3">
        <v>7.3499999999999996E-2</v>
      </c>
      <c r="L365" s="13">
        <f t="shared" si="11"/>
        <v>1.5049870855837926</v>
      </c>
      <c r="M365" s="16">
        <f t="shared" si="12"/>
        <v>1946.7692307692307</v>
      </c>
    </row>
    <row r="366" spans="1:13" x14ac:dyDescent="0.3">
      <c r="A366">
        <v>100364</v>
      </c>
      <c r="B366" t="s">
        <v>13</v>
      </c>
      <c r="C366" t="s">
        <v>20</v>
      </c>
      <c r="D366" t="s">
        <v>12</v>
      </c>
      <c r="E366" s="1">
        <v>44926</v>
      </c>
      <c r="F366" s="4">
        <v>18594</v>
      </c>
      <c r="G366" s="4">
        <v>647363</v>
      </c>
      <c r="H366" s="2">
        <v>1160</v>
      </c>
      <c r="I366" s="16">
        <v>4</v>
      </c>
      <c r="J366" s="1">
        <v>44930</v>
      </c>
      <c r="K366" s="3">
        <v>2.87E-2</v>
      </c>
      <c r="L366" s="13">
        <f t="shared" si="11"/>
        <v>1.7918849239144035</v>
      </c>
      <c r="M366" s="16">
        <f t="shared" si="12"/>
        <v>4648.5</v>
      </c>
    </row>
    <row r="367" spans="1:13" x14ac:dyDescent="0.3">
      <c r="A367">
        <v>100365</v>
      </c>
      <c r="B367" t="s">
        <v>13</v>
      </c>
      <c r="C367" t="s">
        <v>14</v>
      </c>
      <c r="D367" t="s">
        <v>22</v>
      </c>
      <c r="E367" s="1">
        <v>44927</v>
      </c>
      <c r="F367" s="4">
        <v>49507</v>
      </c>
      <c r="G367" s="4">
        <v>533133</v>
      </c>
      <c r="H367" s="2">
        <v>1107</v>
      </c>
      <c r="I367" s="16">
        <v>20</v>
      </c>
      <c r="J367" s="1">
        <v>44947</v>
      </c>
      <c r="K367" s="3">
        <v>9.2899999999999996E-2</v>
      </c>
      <c r="L367" s="13">
        <f t="shared" si="11"/>
        <v>2.0764049496091967</v>
      </c>
      <c r="M367" s="16">
        <f t="shared" si="12"/>
        <v>2475.35</v>
      </c>
    </row>
    <row r="368" spans="1:13" x14ac:dyDescent="0.3">
      <c r="A368">
        <v>100366</v>
      </c>
      <c r="B368" t="s">
        <v>10</v>
      </c>
      <c r="C368" t="s">
        <v>16</v>
      </c>
      <c r="D368" t="s">
        <v>12</v>
      </c>
      <c r="E368" s="1">
        <v>44928</v>
      </c>
      <c r="F368" s="4">
        <v>3278</v>
      </c>
      <c r="G368" s="4">
        <v>90219</v>
      </c>
      <c r="H368" s="2">
        <v>1314</v>
      </c>
      <c r="I368" s="16">
        <v>25</v>
      </c>
      <c r="J368" s="1">
        <v>44953</v>
      </c>
      <c r="K368" s="3">
        <v>3.6299999999999999E-2</v>
      </c>
      <c r="L368" s="13">
        <f t="shared" si="11"/>
        <v>14.564559571708841</v>
      </c>
      <c r="M368" s="16">
        <f t="shared" si="12"/>
        <v>131.12</v>
      </c>
    </row>
    <row r="369" spans="1:13" x14ac:dyDescent="0.3">
      <c r="A369">
        <v>100367</v>
      </c>
      <c r="B369" t="s">
        <v>13</v>
      </c>
      <c r="C369" t="s">
        <v>23</v>
      </c>
      <c r="D369" t="s">
        <v>17</v>
      </c>
      <c r="E369" s="1">
        <v>44929</v>
      </c>
      <c r="F369" s="4">
        <v>73297</v>
      </c>
      <c r="G369" s="4">
        <v>848445</v>
      </c>
      <c r="H369" s="2">
        <v>2866</v>
      </c>
      <c r="I369" s="16">
        <v>11</v>
      </c>
      <c r="J369" s="1">
        <v>44940</v>
      </c>
      <c r="K369" s="3">
        <v>8.6400000000000005E-2</v>
      </c>
      <c r="L369" s="13">
        <f t="shared" si="11"/>
        <v>3.3779443570296248</v>
      </c>
      <c r="M369" s="16">
        <f t="shared" si="12"/>
        <v>6663.363636363636</v>
      </c>
    </row>
    <row r="370" spans="1:13" x14ac:dyDescent="0.3">
      <c r="A370">
        <v>100368</v>
      </c>
      <c r="B370" t="s">
        <v>18</v>
      </c>
      <c r="C370" t="s">
        <v>21</v>
      </c>
      <c r="D370" t="s">
        <v>15</v>
      </c>
      <c r="E370" s="1">
        <v>44930</v>
      </c>
      <c r="F370" s="4">
        <v>57409</v>
      </c>
      <c r="G370" s="4">
        <v>230269</v>
      </c>
      <c r="H370" s="2">
        <v>1709</v>
      </c>
      <c r="I370" s="16">
        <v>20</v>
      </c>
      <c r="J370" s="1">
        <v>44950</v>
      </c>
      <c r="K370" s="3">
        <v>0.24929999999999999</v>
      </c>
      <c r="L370" s="13">
        <f t="shared" si="11"/>
        <v>7.4217545566272483</v>
      </c>
      <c r="M370" s="16">
        <f t="shared" si="12"/>
        <v>2870.45</v>
      </c>
    </row>
    <row r="371" spans="1:13" x14ac:dyDescent="0.3">
      <c r="A371">
        <v>100369</v>
      </c>
      <c r="B371" t="s">
        <v>10</v>
      </c>
      <c r="C371" t="s">
        <v>20</v>
      </c>
      <c r="D371" t="s">
        <v>15</v>
      </c>
      <c r="E371" s="1">
        <v>44931</v>
      </c>
      <c r="F371" s="4">
        <v>30728</v>
      </c>
      <c r="G371" s="4">
        <v>122417</v>
      </c>
      <c r="H371" s="2">
        <v>2863</v>
      </c>
      <c r="I371" s="16">
        <v>19</v>
      </c>
      <c r="J371" s="1">
        <v>44950</v>
      </c>
      <c r="K371" s="3">
        <v>0.251</v>
      </c>
      <c r="L371" s="13">
        <f t="shared" si="11"/>
        <v>23.387274643227656</v>
      </c>
      <c r="M371" s="16">
        <f t="shared" si="12"/>
        <v>1617.2631578947369</v>
      </c>
    </row>
    <row r="372" spans="1:13" x14ac:dyDescent="0.3">
      <c r="A372">
        <v>100370</v>
      </c>
      <c r="B372" t="s">
        <v>10</v>
      </c>
      <c r="C372" t="s">
        <v>20</v>
      </c>
      <c r="D372" t="s">
        <v>17</v>
      </c>
      <c r="E372" s="1">
        <v>44932</v>
      </c>
      <c r="F372" s="4">
        <v>52350</v>
      </c>
      <c r="G372" s="4">
        <v>692323</v>
      </c>
      <c r="H372" s="2">
        <v>1857</v>
      </c>
      <c r="I372" s="16">
        <v>8</v>
      </c>
      <c r="J372" s="1">
        <v>44940</v>
      </c>
      <c r="K372" s="3">
        <v>7.5600000000000001E-2</v>
      </c>
      <c r="L372" s="13">
        <f t="shared" si="11"/>
        <v>2.6822740252743302</v>
      </c>
      <c r="M372" s="16">
        <f t="shared" si="12"/>
        <v>6543.75</v>
      </c>
    </row>
    <row r="373" spans="1:13" x14ac:dyDescent="0.3">
      <c r="A373">
        <v>100371</v>
      </c>
      <c r="B373" t="s">
        <v>18</v>
      </c>
      <c r="C373" t="s">
        <v>25</v>
      </c>
      <c r="D373" t="s">
        <v>17</v>
      </c>
      <c r="E373" s="1">
        <v>44933</v>
      </c>
      <c r="F373" s="4">
        <v>21647</v>
      </c>
      <c r="G373" s="4">
        <v>245138</v>
      </c>
      <c r="H373" s="2">
        <v>2665</v>
      </c>
      <c r="I373" s="16">
        <v>10</v>
      </c>
      <c r="J373" s="1">
        <v>44943</v>
      </c>
      <c r="K373" s="3">
        <v>8.8300000000000003E-2</v>
      </c>
      <c r="L373" s="13">
        <f t="shared" si="11"/>
        <v>10.871427522456738</v>
      </c>
      <c r="M373" s="16">
        <f t="shared" si="12"/>
        <v>2164.6999999999998</v>
      </c>
    </row>
    <row r="374" spans="1:13" x14ac:dyDescent="0.3">
      <c r="A374">
        <v>100372</v>
      </c>
      <c r="B374" t="s">
        <v>18</v>
      </c>
      <c r="C374" t="s">
        <v>14</v>
      </c>
      <c r="D374" t="s">
        <v>15</v>
      </c>
      <c r="E374" s="1">
        <v>44934</v>
      </c>
      <c r="F374" s="4">
        <v>33046</v>
      </c>
      <c r="G374" s="4">
        <v>851382</v>
      </c>
      <c r="H374" s="2">
        <v>232</v>
      </c>
      <c r="I374" s="16">
        <v>9</v>
      </c>
      <c r="J374" s="1">
        <v>44943</v>
      </c>
      <c r="K374" s="3">
        <v>3.8800000000000001E-2</v>
      </c>
      <c r="L374" s="13">
        <f t="shared" si="11"/>
        <v>0.27249812657537975</v>
      </c>
      <c r="M374" s="16">
        <f t="shared" si="12"/>
        <v>3671.7777777777778</v>
      </c>
    </row>
    <row r="375" spans="1:13" x14ac:dyDescent="0.3">
      <c r="A375">
        <v>100373</v>
      </c>
      <c r="B375" t="s">
        <v>18</v>
      </c>
      <c r="C375" t="s">
        <v>16</v>
      </c>
      <c r="D375" t="s">
        <v>17</v>
      </c>
      <c r="E375" s="1">
        <v>44935</v>
      </c>
      <c r="F375" s="4">
        <v>19103</v>
      </c>
      <c r="G375" s="4">
        <v>85023</v>
      </c>
      <c r="H375" s="2">
        <v>3723</v>
      </c>
      <c r="I375" s="16">
        <v>13</v>
      </c>
      <c r="J375" s="1">
        <v>44948</v>
      </c>
      <c r="K375" s="3">
        <v>0.22470000000000001</v>
      </c>
      <c r="L375" s="13">
        <f t="shared" si="11"/>
        <v>43.788151441374687</v>
      </c>
      <c r="M375" s="16">
        <f t="shared" si="12"/>
        <v>1469.4615384615386</v>
      </c>
    </row>
    <row r="376" spans="1:13" x14ac:dyDescent="0.3">
      <c r="A376">
        <v>100374</v>
      </c>
      <c r="B376" t="s">
        <v>18</v>
      </c>
      <c r="C376" t="s">
        <v>21</v>
      </c>
      <c r="D376" t="s">
        <v>24</v>
      </c>
      <c r="E376" s="1">
        <v>44936</v>
      </c>
      <c r="F376" s="4">
        <v>85951</v>
      </c>
      <c r="G376" s="4">
        <v>366065</v>
      </c>
      <c r="H376" s="2">
        <v>586</v>
      </c>
      <c r="I376" s="16">
        <v>2</v>
      </c>
      <c r="J376" s="1">
        <v>44938</v>
      </c>
      <c r="K376" s="3">
        <v>0.23480000000000001</v>
      </c>
      <c r="L376" s="13">
        <f t="shared" si="11"/>
        <v>1.6008085995656509</v>
      </c>
      <c r="M376" s="16">
        <f t="shared" si="12"/>
        <v>42975.5</v>
      </c>
    </row>
    <row r="377" spans="1:13" x14ac:dyDescent="0.3">
      <c r="A377">
        <v>100375</v>
      </c>
      <c r="B377" t="s">
        <v>18</v>
      </c>
      <c r="C377" t="s">
        <v>23</v>
      </c>
      <c r="D377" t="s">
        <v>22</v>
      </c>
      <c r="E377" s="1">
        <v>44937</v>
      </c>
      <c r="F377" s="4">
        <v>8868</v>
      </c>
      <c r="G377" s="4">
        <v>924945</v>
      </c>
      <c r="H377" s="2">
        <v>1667</v>
      </c>
      <c r="I377" s="16">
        <v>11</v>
      </c>
      <c r="J377" s="1">
        <v>44948</v>
      </c>
      <c r="K377" s="3">
        <v>9.5999999999999992E-3</v>
      </c>
      <c r="L377" s="13">
        <f t="shared" si="11"/>
        <v>1.8022693241219749</v>
      </c>
      <c r="M377" s="16">
        <f t="shared" si="12"/>
        <v>806.18181818181813</v>
      </c>
    </row>
    <row r="378" spans="1:13" x14ac:dyDescent="0.3">
      <c r="A378">
        <v>100376</v>
      </c>
      <c r="B378" t="s">
        <v>19</v>
      </c>
      <c r="C378" t="s">
        <v>21</v>
      </c>
      <c r="D378" t="s">
        <v>15</v>
      </c>
      <c r="E378" s="1">
        <v>44938</v>
      </c>
      <c r="F378" s="4">
        <v>9709</v>
      </c>
      <c r="G378" s="4">
        <v>842812</v>
      </c>
      <c r="H378" s="2">
        <v>448</v>
      </c>
      <c r="I378" s="16">
        <v>27</v>
      </c>
      <c r="J378" s="1">
        <v>44965</v>
      </c>
      <c r="K378" s="3">
        <v>1.15E-2</v>
      </c>
      <c r="L378" s="13">
        <f t="shared" si="11"/>
        <v>0.53155389339496828</v>
      </c>
      <c r="M378" s="16">
        <f t="shared" si="12"/>
        <v>359.59259259259261</v>
      </c>
    </row>
    <row r="379" spans="1:13" x14ac:dyDescent="0.3">
      <c r="A379">
        <v>100377</v>
      </c>
      <c r="B379" t="s">
        <v>13</v>
      </c>
      <c r="C379" t="s">
        <v>14</v>
      </c>
      <c r="D379" t="s">
        <v>22</v>
      </c>
      <c r="E379" s="1">
        <v>44939</v>
      </c>
      <c r="F379" s="4">
        <v>18732</v>
      </c>
      <c r="G379" s="4">
        <v>197987</v>
      </c>
      <c r="H379" s="2">
        <v>1369</v>
      </c>
      <c r="I379" s="16">
        <v>8</v>
      </c>
      <c r="J379" s="1">
        <v>44947</v>
      </c>
      <c r="K379" s="3">
        <v>9.4600000000000004E-2</v>
      </c>
      <c r="L379" s="13">
        <f t="shared" si="11"/>
        <v>6.9145954027284615</v>
      </c>
      <c r="M379" s="16">
        <f t="shared" si="12"/>
        <v>2341.5</v>
      </c>
    </row>
    <row r="380" spans="1:13" x14ac:dyDescent="0.3">
      <c r="A380">
        <v>100378</v>
      </c>
      <c r="B380" t="s">
        <v>18</v>
      </c>
      <c r="C380" t="s">
        <v>16</v>
      </c>
      <c r="D380" t="s">
        <v>24</v>
      </c>
      <c r="E380" s="1">
        <v>44940</v>
      </c>
      <c r="F380" s="4">
        <v>40212</v>
      </c>
      <c r="G380" s="4">
        <v>216874</v>
      </c>
      <c r="H380" s="2">
        <v>3186</v>
      </c>
      <c r="I380" s="16">
        <v>24</v>
      </c>
      <c r="J380" s="1">
        <v>44964</v>
      </c>
      <c r="K380" s="3">
        <v>0.18540000000000001</v>
      </c>
      <c r="L380" s="13">
        <f t="shared" si="11"/>
        <v>14.690557650986287</v>
      </c>
      <c r="M380" s="16">
        <f t="shared" si="12"/>
        <v>1675.5</v>
      </c>
    </row>
    <row r="381" spans="1:13" x14ac:dyDescent="0.3">
      <c r="A381">
        <v>100379</v>
      </c>
      <c r="B381" t="s">
        <v>10</v>
      </c>
      <c r="C381" t="s">
        <v>16</v>
      </c>
      <c r="D381" t="s">
        <v>15</v>
      </c>
      <c r="E381" s="1">
        <v>44941</v>
      </c>
      <c r="F381" s="4">
        <v>38243</v>
      </c>
      <c r="G381" s="4">
        <v>43367</v>
      </c>
      <c r="H381" s="2">
        <v>548</v>
      </c>
      <c r="I381" s="16">
        <v>1</v>
      </c>
      <c r="J381" s="1">
        <v>44942</v>
      </c>
      <c r="K381" s="3">
        <v>0.88180000000000003</v>
      </c>
      <c r="L381" s="13">
        <f t="shared" si="11"/>
        <v>12.636336384808727</v>
      </c>
      <c r="M381" s="16">
        <f t="shared" si="12"/>
        <v>38243</v>
      </c>
    </row>
    <row r="382" spans="1:13" x14ac:dyDescent="0.3">
      <c r="A382">
        <v>100380</v>
      </c>
      <c r="B382" t="s">
        <v>13</v>
      </c>
      <c r="C382" t="s">
        <v>11</v>
      </c>
      <c r="D382" t="s">
        <v>15</v>
      </c>
      <c r="E382" s="1">
        <v>44942</v>
      </c>
      <c r="F382" s="4">
        <v>97794</v>
      </c>
      <c r="G382" s="4">
        <v>621144</v>
      </c>
      <c r="H382" s="2">
        <v>758</v>
      </c>
      <c r="I382" s="16">
        <v>11</v>
      </c>
      <c r="J382" s="1">
        <v>44953</v>
      </c>
      <c r="K382" s="3">
        <v>0.15740000000000001</v>
      </c>
      <c r="L382" s="13">
        <f t="shared" si="11"/>
        <v>1.2203289414370904</v>
      </c>
      <c r="M382" s="16">
        <f t="shared" si="12"/>
        <v>8890.363636363636</v>
      </c>
    </row>
    <row r="383" spans="1:13" x14ac:dyDescent="0.3">
      <c r="A383">
        <v>100381</v>
      </c>
      <c r="B383" t="s">
        <v>19</v>
      </c>
      <c r="C383" t="s">
        <v>11</v>
      </c>
      <c r="D383" t="s">
        <v>15</v>
      </c>
      <c r="E383" s="1">
        <v>44943</v>
      </c>
      <c r="F383" s="4">
        <v>20116</v>
      </c>
      <c r="G383" s="4">
        <v>578406</v>
      </c>
      <c r="H383" s="2">
        <v>34</v>
      </c>
      <c r="I383" s="16">
        <v>27</v>
      </c>
      <c r="J383" s="1">
        <v>44970</v>
      </c>
      <c r="K383" s="3">
        <v>3.4799999999999998E-2</v>
      </c>
      <c r="L383" s="13">
        <f t="shared" si="11"/>
        <v>5.8782239465012466E-2</v>
      </c>
      <c r="M383" s="16">
        <f t="shared" si="12"/>
        <v>745.03703703703707</v>
      </c>
    </row>
    <row r="384" spans="1:13" x14ac:dyDescent="0.3">
      <c r="A384">
        <v>100382</v>
      </c>
      <c r="B384" t="s">
        <v>10</v>
      </c>
      <c r="C384" t="s">
        <v>23</v>
      </c>
      <c r="D384" t="s">
        <v>17</v>
      </c>
      <c r="E384" s="1">
        <v>44944</v>
      </c>
      <c r="F384" s="4">
        <v>85132</v>
      </c>
      <c r="G384" s="4">
        <v>481917</v>
      </c>
      <c r="H384" s="2">
        <v>2843</v>
      </c>
      <c r="I384" s="16">
        <v>1</v>
      </c>
      <c r="J384" s="1">
        <v>44945</v>
      </c>
      <c r="K384" s="3">
        <v>0.1767</v>
      </c>
      <c r="L384" s="13">
        <f t="shared" si="11"/>
        <v>5.8993561131896151</v>
      </c>
      <c r="M384" s="16">
        <f t="shared" si="12"/>
        <v>85132</v>
      </c>
    </row>
    <row r="385" spans="1:13" x14ac:dyDescent="0.3">
      <c r="A385">
        <v>100383</v>
      </c>
      <c r="B385" t="s">
        <v>13</v>
      </c>
      <c r="C385" t="s">
        <v>25</v>
      </c>
      <c r="D385" t="s">
        <v>22</v>
      </c>
      <c r="E385" s="1">
        <v>44945</v>
      </c>
      <c r="F385" s="4">
        <v>50894</v>
      </c>
      <c r="G385" s="4">
        <v>795433</v>
      </c>
      <c r="H385" s="2">
        <v>4170</v>
      </c>
      <c r="I385" s="16">
        <v>6</v>
      </c>
      <c r="J385" s="1">
        <v>44951</v>
      </c>
      <c r="K385" s="3">
        <v>6.4000000000000001E-2</v>
      </c>
      <c r="L385" s="13">
        <f t="shared" si="11"/>
        <v>5.2424277091848088</v>
      </c>
      <c r="M385" s="16">
        <f t="shared" si="12"/>
        <v>8482.3333333333339</v>
      </c>
    </row>
    <row r="386" spans="1:13" x14ac:dyDescent="0.3">
      <c r="A386">
        <v>100384</v>
      </c>
      <c r="B386" t="s">
        <v>18</v>
      </c>
      <c r="C386" t="s">
        <v>20</v>
      </c>
      <c r="D386" t="s">
        <v>15</v>
      </c>
      <c r="E386" s="1">
        <v>44946</v>
      </c>
      <c r="F386" s="4">
        <v>18122</v>
      </c>
      <c r="G386" s="4">
        <v>224218</v>
      </c>
      <c r="H386" s="2">
        <v>1212</v>
      </c>
      <c r="I386" s="16">
        <v>6</v>
      </c>
      <c r="J386" s="1">
        <v>44952</v>
      </c>
      <c r="K386" s="3">
        <v>8.0799999999999997E-2</v>
      </c>
      <c r="L386" s="13">
        <f t="shared" ref="L386:L449" si="14">H386/G386*1000</f>
        <v>5.4054536210295332</v>
      </c>
      <c r="M386" s="16">
        <f t="shared" ref="M386:M449" si="15">IFERROR(F386/I386,"No Data")</f>
        <v>3020.3333333333335</v>
      </c>
    </row>
    <row r="387" spans="1:13" x14ac:dyDescent="0.3">
      <c r="A387">
        <v>100385</v>
      </c>
      <c r="B387" t="s">
        <v>19</v>
      </c>
      <c r="C387" t="s">
        <v>25</v>
      </c>
      <c r="D387" t="s">
        <v>24</v>
      </c>
      <c r="E387" s="1">
        <v>44947</v>
      </c>
      <c r="F387" s="4">
        <v>21076</v>
      </c>
      <c r="G387" s="4">
        <v>592534</v>
      </c>
      <c r="H387" s="2">
        <v>1370</v>
      </c>
      <c r="I387" s="16">
        <v>16</v>
      </c>
      <c r="J387" s="1">
        <v>44963</v>
      </c>
      <c r="K387" s="3">
        <v>3.56E-2</v>
      </c>
      <c r="L387" s="13">
        <f t="shared" si="14"/>
        <v>2.3121036092443639</v>
      </c>
      <c r="M387" s="16">
        <f t="shared" si="15"/>
        <v>1317.25</v>
      </c>
    </row>
    <row r="388" spans="1:13" x14ac:dyDescent="0.3">
      <c r="A388">
        <v>100386</v>
      </c>
      <c r="B388" t="s">
        <v>10</v>
      </c>
      <c r="C388" t="s">
        <v>23</v>
      </c>
      <c r="D388" t="s">
        <v>17</v>
      </c>
      <c r="E388" s="1">
        <v>44948</v>
      </c>
      <c r="F388" s="4">
        <v>21973</v>
      </c>
      <c r="G388" s="4">
        <v>192116</v>
      </c>
      <c r="H388" s="2">
        <v>1289</v>
      </c>
      <c r="I388" s="16">
        <v>28</v>
      </c>
      <c r="J388" s="1">
        <v>44976</v>
      </c>
      <c r="K388" s="3">
        <v>0.1144</v>
      </c>
      <c r="L388" s="13">
        <f t="shared" si="14"/>
        <v>6.7094880176559997</v>
      </c>
      <c r="M388" s="16">
        <f t="shared" si="15"/>
        <v>784.75</v>
      </c>
    </row>
    <row r="389" spans="1:13" x14ac:dyDescent="0.3">
      <c r="A389">
        <v>100387</v>
      </c>
      <c r="B389" t="s">
        <v>19</v>
      </c>
      <c r="C389" t="s">
        <v>23</v>
      </c>
      <c r="D389" t="s">
        <v>17</v>
      </c>
      <c r="E389" s="1">
        <v>44949</v>
      </c>
      <c r="F389" s="4">
        <v>58866</v>
      </c>
      <c r="G389" s="4">
        <v>125509</v>
      </c>
      <c r="H389" s="2">
        <v>4245</v>
      </c>
      <c r="I389" s="16">
        <v>29</v>
      </c>
      <c r="J389" s="1">
        <v>44978</v>
      </c>
      <c r="K389" s="3">
        <v>0.46899999999999997</v>
      </c>
      <c r="L389" s="13">
        <f t="shared" si="14"/>
        <v>33.822275693376568</v>
      </c>
      <c r="M389" s="16">
        <f t="shared" si="15"/>
        <v>2029.8620689655172</v>
      </c>
    </row>
    <row r="390" spans="1:13" x14ac:dyDescent="0.3">
      <c r="A390">
        <v>100388</v>
      </c>
      <c r="B390" t="s">
        <v>18</v>
      </c>
      <c r="C390" t="s">
        <v>16</v>
      </c>
      <c r="D390" t="s">
        <v>22</v>
      </c>
      <c r="E390" s="1">
        <v>44950</v>
      </c>
      <c r="F390" s="4">
        <v>85535</v>
      </c>
      <c r="G390" s="4">
        <v>352607</v>
      </c>
      <c r="H390" s="2">
        <v>253</v>
      </c>
      <c r="I390" s="16">
        <v>8</v>
      </c>
      <c r="J390" s="1">
        <v>44958</v>
      </c>
      <c r="K390" s="3">
        <v>0.24260000000000001</v>
      </c>
      <c r="L390" s="13">
        <f t="shared" si="14"/>
        <v>0.71751269827314834</v>
      </c>
      <c r="M390" s="16">
        <f t="shared" si="15"/>
        <v>10691.875</v>
      </c>
    </row>
    <row r="391" spans="1:13" x14ac:dyDescent="0.3">
      <c r="A391">
        <v>100389</v>
      </c>
      <c r="B391" t="s">
        <v>10</v>
      </c>
      <c r="C391" t="s">
        <v>20</v>
      </c>
      <c r="D391" t="s">
        <v>15</v>
      </c>
      <c r="E391" s="1">
        <v>44951</v>
      </c>
      <c r="F391" s="4">
        <v>87606</v>
      </c>
      <c r="G391" s="4">
        <v>876527</v>
      </c>
      <c r="H391" s="2">
        <v>4876</v>
      </c>
      <c r="I391" s="16">
        <v>2</v>
      </c>
      <c r="J391" s="1">
        <v>44953</v>
      </c>
      <c r="K391" s="3">
        <v>9.9900000000000003E-2</v>
      </c>
      <c r="L391" s="13">
        <f t="shared" si="14"/>
        <v>5.5628634371787742</v>
      </c>
      <c r="M391" s="16">
        <f t="shared" si="15"/>
        <v>43803</v>
      </c>
    </row>
    <row r="392" spans="1:13" x14ac:dyDescent="0.3">
      <c r="A392">
        <v>100390</v>
      </c>
      <c r="B392" t="s">
        <v>13</v>
      </c>
      <c r="C392" t="s">
        <v>11</v>
      </c>
      <c r="D392" t="s">
        <v>15</v>
      </c>
      <c r="E392" s="1">
        <v>44952</v>
      </c>
      <c r="F392" s="4">
        <v>91046</v>
      </c>
      <c r="G392" s="4">
        <v>556736</v>
      </c>
      <c r="H392" s="2">
        <v>2338</v>
      </c>
      <c r="I392" s="16">
        <v>11</v>
      </c>
      <c r="J392" s="1">
        <v>44963</v>
      </c>
      <c r="K392" s="3">
        <v>0.16350000000000001</v>
      </c>
      <c r="L392" s="13">
        <f t="shared" si="14"/>
        <v>4.1994769513737209</v>
      </c>
      <c r="M392" s="16">
        <f t="shared" si="15"/>
        <v>8276.9090909090901</v>
      </c>
    </row>
    <row r="393" spans="1:13" x14ac:dyDescent="0.3">
      <c r="A393">
        <v>100391</v>
      </c>
      <c r="B393" t="s">
        <v>18</v>
      </c>
      <c r="C393" t="s">
        <v>21</v>
      </c>
      <c r="D393" t="s">
        <v>17</v>
      </c>
      <c r="E393" s="1">
        <v>44953</v>
      </c>
      <c r="F393" s="4">
        <v>85701</v>
      </c>
      <c r="G393" s="4">
        <v>158282</v>
      </c>
      <c r="H393" s="2">
        <v>4300</v>
      </c>
      <c r="I393" s="16">
        <v>13</v>
      </c>
      <c r="J393" s="1">
        <v>44966</v>
      </c>
      <c r="K393" s="3">
        <v>0.54139999999999999</v>
      </c>
      <c r="L393" s="13">
        <f t="shared" si="14"/>
        <v>27.166702467747438</v>
      </c>
      <c r="M393" s="16">
        <f t="shared" si="15"/>
        <v>6592.3846153846152</v>
      </c>
    </row>
    <row r="394" spans="1:13" x14ac:dyDescent="0.3">
      <c r="A394">
        <v>100392</v>
      </c>
      <c r="B394" t="s">
        <v>13</v>
      </c>
      <c r="C394" t="s">
        <v>16</v>
      </c>
      <c r="D394" t="s">
        <v>15</v>
      </c>
      <c r="E394" s="1">
        <v>44954</v>
      </c>
      <c r="F394" s="4">
        <v>95885</v>
      </c>
      <c r="G394" s="4">
        <v>612847</v>
      </c>
      <c r="H394" s="2">
        <v>1032</v>
      </c>
      <c r="I394" s="16">
        <v>3</v>
      </c>
      <c r="J394" s="1">
        <v>44957</v>
      </c>
      <c r="K394" s="3">
        <v>0.1565</v>
      </c>
      <c r="L394" s="13">
        <f t="shared" si="14"/>
        <v>1.6839439533847764</v>
      </c>
      <c r="M394" s="16">
        <f t="shared" si="15"/>
        <v>31961.666666666668</v>
      </c>
    </row>
    <row r="395" spans="1:13" x14ac:dyDescent="0.3">
      <c r="A395">
        <v>100393</v>
      </c>
      <c r="B395" t="s">
        <v>13</v>
      </c>
      <c r="C395" t="s">
        <v>25</v>
      </c>
      <c r="D395" t="s">
        <v>22</v>
      </c>
      <c r="E395" s="1">
        <v>44955</v>
      </c>
      <c r="F395" s="4">
        <v>52237</v>
      </c>
      <c r="G395" s="4">
        <v>193209</v>
      </c>
      <c r="H395" s="2">
        <v>2103</v>
      </c>
      <c r="I395" s="16">
        <v>21</v>
      </c>
      <c r="J395" s="1">
        <v>44976</v>
      </c>
      <c r="K395" s="3">
        <v>0.27039999999999997</v>
      </c>
      <c r="L395" s="13">
        <f t="shared" si="14"/>
        <v>10.884586121764514</v>
      </c>
      <c r="M395" s="16">
        <f t="shared" si="15"/>
        <v>2487.4761904761904</v>
      </c>
    </row>
    <row r="396" spans="1:13" x14ac:dyDescent="0.3">
      <c r="A396">
        <v>100394</v>
      </c>
      <c r="B396" t="s">
        <v>18</v>
      </c>
      <c r="C396" t="s">
        <v>11</v>
      </c>
      <c r="D396" t="s">
        <v>17</v>
      </c>
      <c r="E396" s="1">
        <v>44956</v>
      </c>
      <c r="F396" s="4">
        <v>32707</v>
      </c>
      <c r="G396" s="4">
        <v>243911</v>
      </c>
      <c r="H396" s="2">
        <v>1126</v>
      </c>
      <c r="I396" s="16">
        <v>24</v>
      </c>
      <c r="J396" s="1">
        <v>44980</v>
      </c>
      <c r="K396" s="3">
        <v>0.1341</v>
      </c>
      <c r="L396" s="13">
        <f t="shared" si="14"/>
        <v>4.6164379630274972</v>
      </c>
      <c r="M396" s="16">
        <f t="shared" si="15"/>
        <v>1362.7916666666667</v>
      </c>
    </row>
    <row r="397" spans="1:13" x14ac:dyDescent="0.3">
      <c r="A397">
        <v>100395</v>
      </c>
      <c r="B397" t="s">
        <v>13</v>
      </c>
      <c r="C397" t="s">
        <v>16</v>
      </c>
      <c r="D397" t="s">
        <v>24</v>
      </c>
      <c r="E397" s="1">
        <v>44957</v>
      </c>
      <c r="F397" s="4">
        <v>41714</v>
      </c>
      <c r="G397" s="4">
        <v>858676</v>
      </c>
      <c r="H397" s="2">
        <v>2412</v>
      </c>
      <c r="I397" s="16">
        <v>8</v>
      </c>
      <c r="J397" s="1">
        <v>44965</v>
      </c>
      <c r="K397" s="3">
        <v>4.8599999999999997E-2</v>
      </c>
      <c r="L397" s="13">
        <f t="shared" si="14"/>
        <v>2.8089756788357891</v>
      </c>
      <c r="M397" s="16">
        <f t="shared" si="15"/>
        <v>5214.25</v>
      </c>
    </row>
    <row r="398" spans="1:13" x14ac:dyDescent="0.3">
      <c r="A398">
        <v>100396</v>
      </c>
      <c r="B398" t="s">
        <v>10</v>
      </c>
      <c r="C398" t="s">
        <v>14</v>
      </c>
      <c r="D398" t="s">
        <v>17</v>
      </c>
      <c r="E398" s="1">
        <v>44958</v>
      </c>
      <c r="F398" s="4">
        <v>84654</v>
      </c>
      <c r="G398" s="4">
        <v>356943</v>
      </c>
      <c r="H398" s="2">
        <v>898</v>
      </c>
      <c r="I398" s="16">
        <v>1</v>
      </c>
      <c r="J398" s="1">
        <v>44959</v>
      </c>
      <c r="K398" s="3">
        <v>0.23719999999999999</v>
      </c>
      <c r="L398" s="13">
        <f t="shared" si="14"/>
        <v>2.5158078460706612</v>
      </c>
      <c r="M398" s="16">
        <f t="shared" si="15"/>
        <v>84654</v>
      </c>
    </row>
    <row r="399" spans="1:13" x14ac:dyDescent="0.3">
      <c r="A399">
        <v>100397</v>
      </c>
      <c r="B399" t="s">
        <v>18</v>
      </c>
      <c r="C399" t="s">
        <v>14</v>
      </c>
      <c r="D399" t="s">
        <v>15</v>
      </c>
      <c r="E399" s="1">
        <v>44959</v>
      </c>
      <c r="F399" s="4">
        <v>85089</v>
      </c>
      <c r="G399" s="4">
        <v>736697</v>
      </c>
      <c r="H399" s="2">
        <v>1399</v>
      </c>
      <c r="I399" s="16">
        <v>23</v>
      </c>
      <c r="J399" s="1">
        <v>44982</v>
      </c>
      <c r="K399" s="3">
        <v>0.11550000000000001</v>
      </c>
      <c r="L399" s="13">
        <f t="shared" si="14"/>
        <v>1.8990168278138773</v>
      </c>
      <c r="M399" s="16">
        <f t="shared" si="15"/>
        <v>3699.521739130435</v>
      </c>
    </row>
    <row r="400" spans="1:13" x14ac:dyDescent="0.3">
      <c r="A400">
        <v>100398</v>
      </c>
      <c r="B400" t="s">
        <v>13</v>
      </c>
      <c r="C400" t="s">
        <v>14</v>
      </c>
      <c r="D400" t="s">
        <v>15</v>
      </c>
      <c r="E400" s="1">
        <v>44960</v>
      </c>
      <c r="F400" s="4">
        <v>59108</v>
      </c>
      <c r="G400" s="4">
        <v>638454</v>
      </c>
      <c r="H400" s="2">
        <v>930</v>
      </c>
      <c r="I400" s="16">
        <v>16</v>
      </c>
      <c r="J400" s="1">
        <v>44976</v>
      </c>
      <c r="K400" s="3">
        <v>9.2600000000000002E-2</v>
      </c>
      <c r="L400" s="13">
        <f t="shared" si="14"/>
        <v>1.4566437049497691</v>
      </c>
      <c r="M400" s="16">
        <f t="shared" si="15"/>
        <v>3694.25</v>
      </c>
    </row>
    <row r="401" spans="1:13" x14ac:dyDescent="0.3">
      <c r="A401">
        <v>100399</v>
      </c>
      <c r="B401" t="s">
        <v>13</v>
      </c>
      <c r="C401" t="s">
        <v>11</v>
      </c>
      <c r="D401" t="s">
        <v>15</v>
      </c>
      <c r="E401" s="1">
        <v>44961</v>
      </c>
      <c r="F401" s="4">
        <v>58518</v>
      </c>
      <c r="G401" s="4">
        <v>989974</v>
      </c>
      <c r="H401" s="2">
        <v>4775</v>
      </c>
      <c r="I401" s="16">
        <v>21</v>
      </c>
      <c r="J401" s="1">
        <v>44982</v>
      </c>
      <c r="K401" s="3">
        <v>5.91E-2</v>
      </c>
      <c r="L401" s="13">
        <f t="shared" si="14"/>
        <v>4.8233589973069995</v>
      </c>
      <c r="M401" s="16">
        <f t="shared" si="15"/>
        <v>2786.5714285714284</v>
      </c>
    </row>
    <row r="402" spans="1:13" x14ac:dyDescent="0.3">
      <c r="A402">
        <v>100400</v>
      </c>
      <c r="B402" t="s">
        <v>18</v>
      </c>
      <c r="C402" t="s">
        <v>20</v>
      </c>
      <c r="D402" t="s">
        <v>12</v>
      </c>
      <c r="E402" s="1">
        <v>44962</v>
      </c>
      <c r="F402" s="4">
        <v>1370</v>
      </c>
      <c r="G402" s="4">
        <v>503940</v>
      </c>
      <c r="H402" s="2">
        <v>1838</v>
      </c>
      <c r="I402" s="16">
        <v>17</v>
      </c>
      <c r="J402" s="1">
        <v>44979</v>
      </c>
      <c r="K402" s="3">
        <v>2.7000000000000001E-3</v>
      </c>
      <c r="L402" s="13">
        <f t="shared" si="14"/>
        <v>3.6472595943961581</v>
      </c>
      <c r="M402" s="16">
        <f t="shared" si="15"/>
        <v>80.588235294117652</v>
      </c>
    </row>
    <row r="403" spans="1:13" x14ac:dyDescent="0.3">
      <c r="A403">
        <v>100401</v>
      </c>
      <c r="B403" t="s">
        <v>19</v>
      </c>
      <c r="C403" t="s">
        <v>23</v>
      </c>
      <c r="D403" t="s">
        <v>15</v>
      </c>
      <c r="E403" s="1">
        <v>44963</v>
      </c>
      <c r="F403" s="4">
        <v>14869</v>
      </c>
      <c r="G403" s="4">
        <v>887412</v>
      </c>
      <c r="H403" s="2">
        <v>3805</v>
      </c>
      <c r="I403" s="16">
        <v>24</v>
      </c>
      <c r="J403" s="1">
        <v>44987</v>
      </c>
      <c r="K403" s="3">
        <v>1.6799999999999999E-2</v>
      </c>
      <c r="L403" s="13">
        <f t="shared" si="14"/>
        <v>4.2877490951215451</v>
      </c>
      <c r="M403" s="16">
        <f t="shared" si="15"/>
        <v>619.54166666666663</v>
      </c>
    </row>
    <row r="404" spans="1:13" x14ac:dyDescent="0.3">
      <c r="A404">
        <v>100402</v>
      </c>
      <c r="B404" t="s">
        <v>10</v>
      </c>
      <c r="C404" t="s">
        <v>25</v>
      </c>
      <c r="D404" t="s">
        <v>15</v>
      </c>
      <c r="E404" s="1">
        <v>44964</v>
      </c>
      <c r="F404" s="4">
        <v>86484</v>
      </c>
      <c r="G404" s="4">
        <v>873217</v>
      </c>
      <c r="H404" s="2">
        <v>2323</v>
      </c>
      <c r="I404" s="16">
        <v>24</v>
      </c>
      <c r="J404" s="1">
        <v>44988</v>
      </c>
      <c r="K404" s="3">
        <v>9.9000000000000005E-2</v>
      </c>
      <c r="L404" s="13">
        <f t="shared" si="14"/>
        <v>2.6602780294016264</v>
      </c>
      <c r="M404" s="16">
        <f t="shared" si="15"/>
        <v>3603.5</v>
      </c>
    </row>
    <row r="405" spans="1:13" x14ac:dyDescent="0.3">
      <c r="A405">
        <v>100403</v>
      </c>
      <c r="B405" t="s">
        <v>18</v>
      </c>
      <c r="C405" t="s">
        <v>25</v>
      </c>
      <c r="D405" t="s">
        <v>22</v>
      </c>
      <c r="E405" s="1">
        <v>44965</v>
      </c>
      <c r="F405" s="4">
        <v>24272</v>
      </c>
      <c r="G405" s="4">
        <v>640721</v>
      </c>
      <c r="H405" s="2">
        <v>592</v>
      </c>
      <c r="I405" s="16">
        <v>22</v>
      </c>
      <c r="J405" s="1">
        <v>44987</v>
      </c>
      <c r="K405" s="3">
        <v>3.7900000000000003E-2</v>
      </c>
      <c r="L405" s="13">
        <f t="shared" si="14"/>
        <v>0.92395910232378831</v>
      </c>
      <c r="M405" s="16">
        <f t="shared" si="15"/>
        <v>1103.2727272727273</v>
      </c>
    </row>
    <row r="406" spans="1:13" x14ac:dyDescent="0.3">
      <c r="A406">
        <v>100404</v>
      </c>
      <c r="B406" t="s">
        <v>19</v>
      </c>
      <c r="C406" t="s">
        <v>23</v>
      </c>
      <c r="D406" t="s">
        <v>12</v>
      </c>
      <c r="E406" s="1">
        <v>44966</v>
      </c>
      <c r="F406" s="4">
        <v>578</v>
      </c>
      <c r="G406" s="4">
        <v>869542</v>
      </c>
      <c r="H406" s="2">
        <v>2363</v>
      </c>
      <c r="I406" s="16">
        <v>3</v>
      </c>
      <c r="J406" s="1">
        <v>44969</v>
      </c>
      <c r="K406" s="3">
        <v>6.9999999999999999E-4</v>
      </c>
      <c r="L406" s="13">
        <f t="shared" si="14"/>
        <v>2.7175225578522948</v>
      </c>
      <c r="M406" s="16">
        <f t="shared" si="15"/>
        <v>192.66666666666666</v>
      </c>
    </row>
    <row r="407" spans="1:13" x14ac:dyDescent="0.3">
      <c r="A407">
        <v>100405</v>
      </c>
      <c r="B407" t="s">
        <v>10</v>
      </c>
      <c r="C407" t="s">
        <v>21</v>
      </c>
      <c r="D407" t="s">
        <v>15</v>
      </c>
      <c r="E407" s="1">
        <v>44967</v>
      </c>
      <c r="F407" s="4">
        <v>34713</v>
      </c>
      <c r="G407" s="4">
        <v>373108</v>
      </c>
      <c r="H407" s="2">
        <v>894</v>
      </c>
      <c r="I407" s="16">
        <v>22</v>
      </c>
      <c r="J407" s="1">
        <v>44989</v>
      </c>
      <c r="K407" s="3">
        <v>9.2999999999999999E-2</v>
      </c>
      <c r="L407" s="13">
        <f t="shared" si="14"/>
        <v>2.3960890680446414</v>
      </c>
      <c r="M407" s="16">
        <f t="shared" si="15"/>
        <v>1577.8636363636363</v>
      </c>
    </row>
    <row r="408" spans="1:13" x14ac:dyDescent="0.3">
      <c r="A408">
        <v>100406</v>
      </c>
      <c r="B408" t="s">
        <v>18</v>
      </c>
      <c r="C408" t="s">
        <v>16</v>
      </c>
      <c r="D408" t="s">
        <v>22</v>
      </c>
      <c r="E408" s="1">
        <v>44968</v>
      </c>
      <c r="F408" s="4">
        <v>23408</v>
      </c>
      <c r="G408" s="4">
        <v>411081</v>
      </c>
      <c r="H408" s="2">
        <v>238</v>
      </c>
      <c r="I408" s="16">
        <v>1</v>
      </c>
      <c r="J408" s="1">
        <v>44969</v>
      </c>
      <c r="K408" s="3">
        <v>5.6899999999999999E-2</v>
      </c>
      <c r="L408" s="13">
        <f t="shared" si="14"/>
        <v>0.57896132392399546</v>
      </c>
      <c r="M408" s="16">
        <f t="shared" si="15"/>
        <v>23408</v>
      </c>
    </row>
    <row r="409" spans="1:13" x14ac:dyDescent="0.3">
      <c r="A409">
        <v>100407</v>
      </c>
      <c r="B409" t="s">
        <v>10</v>
      </c>
      <c r="C409" t="s">
        <v>14</v>
      </c>
      <c r="D409" t="s">
        <v>17</v>
      </c>
      <c r="E409" s="1">
        <v>44969</v>
      </c>
      <c r="F409" s="4">
        <v>52416</v>
      </c>
      <c r="G409" s="4">
        <v>740021</v>
      </c>
      <c r="H409" s="2">
        <v>3615</v>
      </c>
      <c r="I409" s="16">
        <v>12</v>
      </c>
      <c r="J409" s="1">
        <v>44981</v>
      </c>
      <c r="K409" s="3">
        <v>7.0800000000000002E-2</v>
      </c>
      <c r="L409" s="13">
        <f t="shared" si="14"/>
        <v>4.8849965068558863</v>
      </c>
      <c r="M409" s="16">
        <f t="shared" si="15"/>
        <v>4368</v>
      </c>
    </row>
    <row r="410" spans="1:13" x14ac:dyDescent="0.3">
      <c r="A410">
        <v>100408</v>
      </c>
      <c r="B410" t="s">
        <v>18</v>
      </c>
      <c r="C410" t="s">
        <v>11</v>
      </c>
      <c r="D410" t="s">
        <v>12</v>
      </c>
      <c r="E410" s="1">
        <v>44970</v>
      </c>
      <c r="F410" s="4">
        <v>47085</v>
      </c>
      <c r="G410" s="4">
        <v>994752</v>
      </c>
      <c r="H410" s="2">
        <v>2269</v>
      </c>
      <c r="I410" s="16">
        <v>19</v>
      </c>
      <c r="J410" s="1">
        <v>44989</v>
      </c>
      <c r="K410" s="3">
        <v>4.7300000000000002E-2</v>
      </c>
      <c r="L410" s="13">
        <f t="shared" si="14"/>
        <v>2.2809705333590684</v>
      </c>
      <c r="M410" s="16">
        <f t="shared" si="15"/>
        <v>2478.1578947368421</v>
      </c>
    </row>
    <row r="411" spans="1:13" x14ac:dyDescent="0.3">
      <c r="A411">
        <v>100409</v>
      </c>
      <c r="B411" t="s">
        <v>19</v>
      </c>
      <c r="C411" t="s">
        <v>11</v>
      </c>
      <c r="D411" t="s">
        <v>12</v>
      </c>
      <c r="E411" s="1">
        <v>44971</v>
      </c>
      <c r="F411" s="4">
        <v>93657</v>
      </c>
      <c r="G411" s="4">
        <v>768553</v>
      </c>
      <c r="H411" s="2">
        <v>3786</v>
      </c>
      <c r="I411" s="16">
        <v>4</v>
      </c>
      <c r="J411" s="1">
        <v>44975</v>
      </c>
      <c r="K411" s="3">
        <v>0.12189999999999999</v>
      </c>
      <c r="L411" s="13">
        <f t="shared" si="14"/>
        <v>4.9261404223261112</v>
      </c>
      <c r="M411" s="16">
        <f t="shared" si="15"/>
        <v>23414.25</v>
      </c>
    </row>
    <row r="412" spans="1:13" x14ac:dyDescent="0.3">
      <c r="A412">
        <v>100410</v>
      </c>
      <c r="B412" t="s">
        <v>13</v>
      </c>
      <c r="C412" t="s">
        <v>11</v>
      </c>
      <c r="D412" t="s">
        <v>17</v>
      </c>
      <c r="E412" s="1">
        <v>44972</v>
      </c>
      <c r="F412" s="4">
        <v>35248</v>
      </c>
      <c r="G412" s="4">
        <v>711710</v>
      </c>
      <c r="H412" s="2">
        <v>2879</v>
      </c>
      <c r="I412" s="16">
        <v>18</v>
      </c>
      <c r="J412" s="1">
        <v>44990</v>
      </c>
      <c r="K412" s="3">
        <v>4.9500000000000002E-2</v>
      </c>
      <c r="L412" s="13">
        <f t="shared" si="14"/>
        <v>4.0451869441204993</v>
      </c>
      <c r="M412" s="16">
        <f t="shared" si="15"/>
        <v>1958.2222222222222</v>
      </c>
    </row>
    <row r="413" spans="1:13" x14ac:dyDescent="0.3">
      <c r="A413">
        <v>100411</v>
      </c>
      <c r="B413" t="s">
        <v>13</v>
      </c>
      <c r="C413" t="s">
        <v>14</v>
      </c>
      <c r="D413" t="s">
        <v>17</v>
      </c>
      <c r="E413" s="1">
        <v>44973</v>
      </c>
      <c r="F413" s="4">
        <v>74762</v>
      </c>
      <c r="G413" s="4">
        <v>214141</v>
      </c>
      <c r="H413" s="2">
        <v>3371</v>
      </c>
      <c r="I413" s="16">
        <v>16</v>
      </c>
      <c r="J413" s="1">
        <v>44989</v>
      </c>
      <c r="K413" s="3">
        <v>0.34910000000000002</v>
      </c>
      <c r="L413" s="13">
        <f t="shared" si="14"/>
        <v>15.741964406629275</v>
      </c>
      <c r="M413" s="16">
        <f t="shared" si="15"/>
        <v>4672.625</v>
      </c>
    </row>
    <row r="414" spans="1:13" x14ac:dyDescent="0.3">
      <c r="A414">
        <v>100412</v>
      </c>
      <c r="B414" t="s">
        <v>18</v>
      </c>
      <c r="C414" t="s">
        <v>25</v>
      </c>
      <c r="D414" t="s">
        <v>12</v>
      </c>
      <c r="E414" s="1">
        <v>44974</v>
      </c>
      <c r="F414" s="4">
        <v>95814</v>
      </c>
      <c r="G414" s="4">
        <v>970005</v>
      </c>
      <c r="H414" s="2">
        <v>4840</v>
      </c>
      <c r="I414" s="16">
        <v>3</v>
      </c>
      <c r="J414" s="1">
        <v>44977</v>
      </c>
      <c r="K414" s="3">
        <v>9.8799999999999999E-2</v>
      </c>
      <c r="L414" s="13">
        <f t="shared" si="14"/>
        <v>4.9896650017267952</v>
      </c>
      <c r="M414" s="16">
        <f t="shared" si="15"/>
        <v>31938</v>
      </c>
    </row>
    <row r="415" spans="1:13" x14ac:dyDescent="0.3">
      <c r="A415">
        <v>100413</v>
      </c>
      <c r="B415" t="s">
        <v>10</v>
      </c>
      <c r="C415" t="s">
        <v>14</v>
      </c>
      <c r="D415" t="s">
        <v>17</v>
      </c>
      <c r="E415" s="1">
        <v>44975</v>
      </c>
      <c r="F415" s="4">
        <v>21131</v>
      </c>
      <c r="G415" s="4">
        <v>18177</v>
      </c>
      <c r="H415" s="2">
        <v>1786</v>
      </c>
      <c r="I415" s="16">
        <v>27</v>
      </c>
      <c r="J415" s="1">
        <v>45002</v>
      </c>
      <c r="K415" s="3">
        <v>1.1625000000000001</v>
      </c>
      <c r="L415" s="13">
        <f t="shared" si="14"/>
        <v>98.256037850030253</v>
      </c>
      <c r="M415" s="16">
        <f t="shared" si="15"/>
        <v>782.62962962962968</v>
      </c>
    </row>
    <row r="416" spans="1:13" x14ac:dyDescent="0.3">
      <c r="A416">
        <v>100414</v>
      </c>
      <c r="B416" t="s">
        <v>18</v>
      </c>
      <c r="C416" t="s">
        <v>25</v>
      </c>
      <c r="D416" t="s">
        <v>15</v>
      </c>
      <c r="E416" s="1">
        <v>44976</v>
      </c>
      <c r="F416" s="4">
        <v>38424</v>
      </c>
      <c r="G416" s="4">
        <v>856270</v>
      </c>
      <c r="H416" s="2">
        <v>3517</v>
      </c>
      <c r="I416" s="16">
        <v>15</v>
      </c>
      <c r="J416" s="1">
        <v>44991</v>
      </c>
      <c r="K416" s="3">
        <v>4.4900000000000002E-2</v>
      </c>
      <c r="L416" s="13">
        <f t="shared" si="14"/>
        <v>4.1073493173882065</v>
      </c>
      <c r="M416" s="16">
        <f t="shared" si="15"/>
        <v>2561.6</v>
      </c>
    </row>
    <row r="417" spans="1:13" x14ac:dyDescent="0.3">
      <c r="A417">
        <v>100415</v>
      </c>
      <c r="B417" t="s">
        <v>18</v>
      </c>
      <c r="C417" t="s">
        <v>25</v>
      </c>
      <c r="D417" t="s">
        <v>22</v>
      </c>
      <c r="E417" s="1">
        <v>44977</v>
      </c>
      <c r="F417" s="4">
        <v>3682</v>
      </c>
      <c r="G417" s="4">
        <v>345580</v>
      </c>
      <c r="H417" s="2">
        <v>3021</v>
      </c>
      <c r="I417" s="16">
        <v>24</v>
      </c>
      <c r="J417" s="1">
        <v>45001</v>
      </c>
      <c r="K417" s="3">
        <v>1.0699999999999999E-2</v>
      </c>
      <c r="L417" s="13">
        <f t="shared" si="14"/>
        <v>8.7418253371144168</v>
      </c>
      <c r="M417" s="16">
        <f t="shared" si="15"/>
        <v>153.41666666666666</v>
      </c>
    </row>
    <row r="418" spans="1:13" x14ac:dyDescent="0.3">
      <c r="A418">
        <v>100416</v>
      </c>
      <c r="B418" t="s">
        <v>18</v>
      </c>
      <c r="C418" t="s">
        <v>25</v>
      </c>
      <c r="D418" t="s">
        <v>22</v>
      </c>
      <c r="E418" s="1">
        <v>44978</v>
      </c>
      <c r="F418" s="4">
        <v>72110</v>
      </c>
      <c r="G418" s="4">
        <v>291267</v>
      </c>
      <c r="H418" s="2">
        <v>2493</v>
      </c>
      <c r="I418" s="16">
        <v>13</v>
      </c>
      <c r="J418" s="1">
        <v>44991</v>
      </c>
      <c r="K418" s="3">
        <v>0.24759999999999999</v>
      </c>
      <c r="L418" s="13">
        <f t="shared" si="14"/>
        <v>8.5591570620770643</v>
      </c>
      <c r="M418" s="16">
        <f t="shared" si="15"/>
        <v>5546.9230769230771</v>
      </c>
    </row>
    <row r="419" spans="1:13" x14ac:dyDescent="0.3">
      <c r="A419">
        <v>100417</v>
      </c>
      <c r="B419" t="s">
        <v>10</v>
      </c>
      <c r="C419" t="s">
        <v>11</v>
      </c>
      <c r="D419" t="s">
        <v>24</v>
      </c>
      <c r="E419" s="1">
        <v>44979</v>
      </c>
      <c r="F419" s="4">
        <v>49656</v>
      </c>
      <c r="G419" s="4">
        <v>907806</v>
      </c>
      <c r="H419" s="2">
        <v>1260</v>
      </c>
      <c r="I419" s="16">
        <v>20</v>
      </c>
      <c r="J419" s="1">
        <v>44999</v>
      </c>
      <c r="K419" s="3">
        <v>5.4699999999999999E-2</v>
      </c>
      <c r="L419" s="13">
        <f t="shared" si="14"/>
        <v>1.3879617451305675</v>
      </c>
      <c r="M419" s="16">
        <f t="shared" si="15"/>
        <v>2482.8000000000002</v>
      </c>
    </row>
    <row r="420" spans="1:13" x14ac:dyDescent="0.3">
      <c r="A420">
        <v>100418</v>
      </c>
      <c r="B420" t="s">
        <v>18</v>
      </c>
      <c r="C420" t="s">
        <v>20</v>
      </c>
      <c r="D420" t="s">
        <v>24</v>
      </c>
      <c r="E420" s="1">
        <v>44980</v>
      </c>
      <c r="F420" s="4">
        <v>44739</v>
      </c>
      <c r="G420" s="4">
        <v>508402</v>
      </c>
      <c r="H420" s="2">
        <v>3610</v>
      </c>
      <c r="I420" s="16">
        <v>20</v>
      </c>
      <c r="J420" s="1">
        <v>45000</v>
      </c>
      <c r="K420" s="3">
        <v>8.7999999999999995E-2</v>
      </c>
      <c r="L420" s="13">
        <f t="shared" si="14"/>
        <v>7.1006801704163243</v>
      </c>
      <c r="M420" s="16">
        <f t="shared" si="15"/>
        <v>2236.9499999999998</v>
      </c>
    </row>
    <row r="421" spans="1:13" x14ac:dyDescent="0.3">
      <c r="A421">
        <v>100419</v>
      </c>
      <c r="B421" t="s">
        <v>19</v>
      </c>
      <c r="C421" t="s">
        <v>11</v>
      </c>
      <c r="D421" t="s">
        <v>17</v>
      </c>
      <c r="E421" s="1">
        <v>44981</v>
      </c>
      <c r="F421" s="4">
        <v>65869</v>
      </c>
      <c r="G421" s="4">
        <v>598623</v>
      </c>
      <c r="H421" s="2">
        <v>1425</v>
      </c>
      <c r="I421" s="16">
        <v>20</v>
      </c>
      <c r="J421" s="1">
        <v>45001</v>
      </c>
      <c r="K421" s="3">
        <v>0.11</v>
      </c>
      <c r="L421" s="13">
        <f t="shared" si="14"/>
        <v>2.3804631629589905</v>
      </c>
      <c r="M421" s="16">
        <f t="shared" si="15"/>
        <v>3293.45</v>
      </c>
    </row>
    <row r="422" spans="1:13" x14ac:dyDescent="0.3">
      <c r="A422">
        <v>100420</v>
      </c>
      <c r="B422" t="s">
        <v>13</v>
      </c>
      <c r="C422" t="s">
        <v>16</v>
      </c>
      <c r="D422" t="s">
        <v>22</v>
      </c>
      <c r="E422" s="1">
        <v>44982</v>
      </c>
      <c r="F422" s="4">
        <v>11434</v>
      </c>
      <c r="G422" s="4">
        <v>30025</v>
      </c>
      <c r="H422" s="2">
        <v>4214</v>
      </c>
      <c r="I422" s="16">
        <v>6</v>
      </c>
      <c r="J422" s="1">
        <v>44988</v>
      </c>
      <c r="K422" s="3">
        <v>0.38080000000000003</v>
      </c>
      <c r="L422" s="13">
        <f t="shared" si="14"/>
        <v>140.34970857618652</v>
      </c>
      <c r="M422" s="16">
        <f t="shared" si="15"/>
        <v>1905.6666666666667</v>
      </c>
    </row>
    <row r="423" spans="1:13" x14ac:dyDescent="0.3">
      <c r="A423">
        <v>100421</v>
      </c>
      <c r="B423" t="s">
        <v>18</v>
      </c>
      <c r="C423" t="s">
        <v>11</v>
      </c>
      <c r="D423" t="s">
        <v>12</v>
      </c>
      <c r="E423" s="1">
        <v>44983</v>
      </c>
      <c r="F423" s="4">
        <v>71685</v>
      </c>
      <c r="G423" s="4">
        <v>217397</v>
      </c>
      <c r="H423" s="2">
        <v>3960</v>
      </c>
      <c r="I423" s="16">
        <v>29</v>
      </c>
      <c r="J423" s="1">
        <v>45012</v>
      </c>
      <c r="K423" s="3">
        <v>0.32969999999999999</v>
      </c>
      <c r="L423" s="13">
        <f t="shared" si="14"/>
        <v>18.215522753303865</v>
      </c>
      <c r="M423" s="16">
        <f t="shared" si="15"/>
        <v>2471.8965517241381</v>
      </c>
    </row>
    <row r="424" spans="1:13" x14ac:dyDescent="0.3">
      <c r="A424">
        <v>100422</v>
      </c>
      <c r="B424" t="s">
        <v>18</v>
      </c>
      <c r="C424" t="s">
        <v>23</v>
      </c>
      <c r="D424" t="s">
        <v>17</v>
      </c>
      <c r="E424" s="1">
        <v>44984</v>
      </c>
      <c r="F424" s="4">
        <v>93852</v>
      </c>
      <c r="G424" s="4">
        <v>364099</v>
      </c>
      <c r="H424" s="2">
        <v>234</v>
      </c>
      <c r="I424" s="16">
        <v>23</v>
      </c>
      <c r="J424" s="1">
        <v>45007</v>
      </c>
      <c r="K424" s="3">
        <v>0.25779999999999997</v>
      </c>
      <c r="L424" s="13">
        <f t="shared" si="14"/>
        <v>0.64268234738354135</v>
      </c>
      <c r="M424" s="16">
        <f t="shared" si="15"/>
        <v>4080.521739130435</v>
      </c>
    </row>
    <row r="425" spans="1:13" x14ac:dyDescent="0.3">
      <c r="A425">
        <v>100423</v>
      </c>
      <c r="B425" t="s">
        <v>18</v>
      </c>
      <c r="C425" t="s">
        <v>23</v>
      </c>
      <c r="D425" t="s">
        <v>15</v>
      </c>
      <c r="E425" s="1">
        <v>44985</v>
      </c>
      <c r="F425" s="4">
        <v>51421</v>
      </c>
      <c r="G425" s="4">
        <v>186485</v>
      </c>
      <c r="H425" s="2">
        <v>1357</v>
      </c>
      <c r="I425" s="16">
        <v>25</v>
      </c>
      <c r="J425" s="1">
        <v>45010</v>
      </c>
      <c r="K425" s="3">
        <v>0.2757</v>
      </c>
      <c r="L425" s="13">
        <f t="shared" si="14"/>
        <v>7.2767246695444676</v>
      </c>
      <c r="M425" s="16">
        <f t="shared" si="15"/>
        <v>2056.84</v>
      </c>
    </row>
    <row r="426" spans="1:13" x14ac:dyDescent="0.3">
      <c r="A426">
        <v>100424</v>
      </c>
      <c r="B426" t="s">
        <v>13</v>
      </c>
      <c r="C426" t="s">
        <v>21</v>
      </c>
      <c r="D426" t="s">
        <v>22</v>
      </c>
      <c r="E426" s="1">
        <v>44986</v>
      </c>
      <c r="F426" s="4">
        <v>51163</v>
      </c>
      <c r="G426" s="4">
        <v>871394</v>
      </c>
      <c r="H426" s="2">
        <v>560</v>
      </c>
      <c r="I426" s="16">
        <v>11</v>
      </c>
      <c r="J426" s="1">
        <v>44997</v>
      </c>
      <c r="K426" s="3">
        <v>5.8700000000000002E-2</v>
      </c>
      <c r="L426" s="13">
        <f t="shared" si="14"/>
        <v>0.64264844605310567</v>
      </c>
      <c r="M426" s="16">
        <f t="shared" si="15"/>
        <v>4651.181818181818</v>
      </c>
    </row>
    <row r="427" spans="1:13" x14ac:dyDescent="0.3">
      <c r="A427">
        <v>100425</v>
      </c>
      <c r="B427" t="s">
        <v>10</v>
      </c>
      <c r="C427" t="s">
        <v>11</v>
      </c>
      <c r="D427" t="s">
        <v>24</v>
      </c>
      <c r="E427" s="1">
        <v>44987</v>
      </c>
      <c r="F427" s="4">
        <v>48343</v>
      </c>
      <c r="G427" s="4">
        <v>408220</v>
      </c>
      <c r="H427" s="2">
        <v>1135</v>
      </c>
      <c r="I427" s="16">
        <v>2</v>
      </c>
      <c r="J427" s="1">
        <v>44989</v>
      </c>
      <c r="K427" s="3">
        <v>0.11840000000000001</v>
      </c>
      <c r="L427" s="13">
        <f t="shared" si="14"/>
        <v>2.7803635294694038</v>
      </c>
      <c r="M427" s="16">
        <f t="shared" si="15"/>
        <v>24171.5</v>
      </c>
    </row>
    <row r="428" spans="1:13" x14ac:dyDescent="0.3">
      <c r="A428">
        <v>100426</v>
      </c>
      <c r="B428" t="s">
        <v>18</v>
      </c>
      <c r="C428" t="s">
        <v>11</v>
      </c>
      <c r="D428" t="s">
        <v>15</v>
      </c>
      <c r="E428" s="1">
        <v>44988</v>
      </c>
      <c r="F428" s="4">
        <v>48076</v>
      </c>
      <c r="G428" s="4">
        <v>304835</v>
      </c>
      <c r="H428" s="2">
        <v>3052</v>
      </c>
      <c r="I428" s="16">
        <v>8</v>
      </c>
      <c r="J428" s="1">
        <v>44996</v>
      </c>
      <c r="K428" s="3">
        <v>0.15770000000000001</v>
      </c>
      <c r="L428" s="13">
        <f t="shared" si="14"/>
        <v>10.011973690685124</v>
      </c>
      <c r="M428" s="16">
        <f t="shared" si="15"/>
        <v>6009.5</v>
      </c>
    </row>
    <row r="429" spans="1:13" x14ac:dyDescent="0.3">
      <c r="A429">
        <v>100427</v>
      </c>
      <c r="B429" t="s">
        <v>10</v>
      </c>
      <c r="C429" t="s">
        <v>11</v>
      </c>
      <c r="D429" t="s">
        <v>15</v>
      </c>
      <c r="E429" s="1">
        <v>44989</v>
      </c>
      <c r="F429" s="4">
        <v>32325</v>
      </c>
      <c r="G429" s="4">
        <v>131677</v>
      </c>
      <c r="H429" s="2">
        <v>4195</v>
      </c>
      <c r="I429" s="16">
        <v>16</v>
      </c>
      <c r="J429" s="1">
        <v>45005</v>
      </c>
      <c r="K429" s="3">
        <v>0.2455</v>
      </c>
      <c r="L429" s="13">
        <f t="shared" si="14"/>
        <v>31.85825922522536</v>
      </c>
      <c r="M429" s="16">
        <f t="shared" si="15"/>
        <v>2020.3125</v>
      </c>
    </row>
    <row r="430" spans="1:13" x14ac:dyDescent="0.3">
      <c r="A430">
        <v>100428</v>
      </c>
      <c r="B430" t="s">
        <v>18</v>
      </c>
      <c r="C430" t="s">
        <v>20</v>
      </c>
      <c r="D430" t="s">
        <v>22</v>
      </c>
      <c r="E430" s="1">
        <v>44990</v>
      </c>
      <c r="F430" s="4">
        <v>90449</v>
      </c>
      <c r="G430" s="4">
        <v>128294</v>
      </c>
      <c r="H430" s="2">
        <v>1874</v>
      </c>
      <c r="I430" s="16">
        <v>24</v>
      </c>
      <c r="J430" s="1">
        <v>45014</v>
      </c>
      <c r="K430" s="3">
        <v>0.70499999999999996</v>
      </c>
      <c r="L430" s="13">
        <f t="shared" si="14"/>
        <v>14.607074376042528</v>
      </c>
      <c r="M430" s="16">
        <f t="shared" si="15"/>
        <v>3768.7083333333335</v>
      </c>
    </row>
    <row r="431" spans="1:13" x14ac:dyDescent="0.3">
      <c r="A431">
        <v>100429</v>
      </c>
      <c r="B431" t="s">
        <v>10</v>
      </c>
      <c r="C431" t="s">
        <v>14</v>
      </c>
      <c r="D431" t="s">
        <v>22</v>
      </c>
      <c r="E431" s="1">
        <v>44991</v>
      </c>
      <c r="F431" s="4">
        <v>68513</v>
      </c>
      <c r="G431" s="4">
        <v>436568</v>
      </c>
      <c r="H431" s="2">
        <v>27</v>
      </c>
      <c r="I431" s="16">
        <v>17</v>
      </c>
      <c r="J431" s="1">
        <v>45008</v>
      </c>
      <c r="K431" s="3">
        <v>0.15690000000000001</v>
      </c>
      <c r="L431" s="13">
        <f t="shared" si="14"/>
        <v>6.1846035440068906E-2</v>
      </c>
      <c r="M431" s="16">
        <f t="shared" si="15"/>
        <v>4030.1764705882351</v>
      </c>
    </row>
    <row r="432" spans="1:13" x14ac:dyDescent="0.3">
      <c r="A432">
        <v>100430</v>
      </c>
      <c r="B432" t="s">
        <v>19</v>
      </c>
      <c r="C432" t="s">
        <v>11</v>
      </c>
      <c r="D432" t="s">
        <v>12</v>
      </c>
      <c r="E432" s="1">
        <v>44992</v>
      </c>
      <c r="F432" s="4">
        <v>13253</v>
      </c>
      <c r="G432" s="4">
        <v>309741</v>
      </c>
      <c r="H432" s="2">
        <v>2063</v>
      </c>
      <c r="I432" s="16">
        <v>6</v>
      </c>
      <c r="J432" s="1">
        <v>44998</v>
      </c>
      <c r="K432" s="3">
        <v>4.2799999999999998E-2</v>
      </c>
      <c r="L432" s="13">
        <f t="shared" si="14"/>
        <v>6.6604033692665805</v>
      </c>
      <c r="M432" s="16">
        <f t="shared" si="15"/>
        <v>2208.8333333333335</v>
      </c>
    </row>
    <row r="433" spans="1:13" x14ac:dyDescent="0.3">
      <c r="A433">
        <v>100431</v>
      </c>
      <c r="B433" t="s">
        <v>10</v>
      </c>
      <c r="C433" t="s">
        <v>14</v>
      </c>
      <c r="D433" t="s">
        <v>15</v>
      </c>
      <c r="E433" s="1">
        <v>44993</v>
      </c>
      <c r="F433" s="4">
        <v>48110</v>
      </c>
      <c r="G433" s="4">
        <v>97100</v>
      </c>
      <c r="H433" s="2">
        <v>4178</v>
      </c>
      <c r="I433" s="16">
        <v>25</v>
      </c>
      <c r="J433" s="1">
        <v>45018</v>
      </c>
      <c r="K433" s="3">
        <v>0.4955</v>
      </c>
      <c r="L433" s="13">
        <f t="shared" si="14"/>
        <v>43.027806385169924</v>
      </c>
      <c r="M433" s="16">
        <f t="shared" si="15"/>
        <v>1924.4</v>
      </c>
    </row>
    <row r="434" spans="1:13" x14ac:dyDescent="0.3">
      <c r="A434">
        <v>100432</v>
      </c>
      <c r="B434" t="s">
        <v>13</v>
      </c>
      <c r="C434" t="s">
        <v>23</v>
      </c>
      <c r="D434" t="s">
        <v>24</v>
      </c>
      <c r="E434" s="1">
        <v>44994</v>
      </c>
      <c r="F434" s="4">
        <v>91748</v>
      </c>
      <c r="G434" s="4">
        <v>670082</v>
      </c>
      <c r="H434" s="2">
        <v>320</v>
      </c>
      <c r="I434" s="16">
        <v>8</v>
      </c>
      <c r="J434" s="1">
        <v>45002</v>
      </c>
      <c r="K434" s="3">
        <v>0.13689999999999999</v>
      </c>
      <c r="L434" s="13">
        <f t="shared" si="14"/>
        <v>0.47755349345304005</v>
      </c>
      <c r="M434" s="16">
        <f t="shared" si="15"/>
        <v>11468.5</v>
      </c>
    </row>
    <row r="435" spans="1:13" x14ac:dyDescent="0.3">
      <c r="A435">
        <v>100433</v>
      </c>
      <c r="B435" t="s">
        <v>10</v>
      </c>
      <c r="C435" t="s">
        <v>23</v>
      </c>
      <c r="D435" t="s">
        <v>12</v>
      </c>
      <c r="E435" s="1">
        <v>44995</v>
      </c>
      <c r="F435" s="4">
        <v>34947</v>
      </c>
      <c r="G435" s="4">
        <v>827294</v>
      </c>
      <c r="H435" s="2">
        <v>4867</v>
      </c>
      <c r="I435" s="16">
        <v>24</v>
      </c>
      <c r="J435" s="1">
        <v>45019</v>
      </c>
      <c r="K435" s="3">
        <v>4.2200000000000001E-2</v>
      </c>
      <c r="L435" s="13">
        <f t="shared" si="14"/>
        <v>5.8830355351301957</v>
      </c>
      <c r="M435" s="16">
        <f t="shared" si="15"/>
        <v>1456.125</v>
      </c>
    </row>
    <row r="436" spans="1:13" x14ac:dyDescent="0.3">
      <c r="A436">
        <v>100434</v>
      </c>
      <c r="B436" t="s">
        <v>18</v>
      </c>
      <c r="C436" t="s">
        <v>25</v>
      </c>
      <c r="D436" t="s">
        <v>15</v>
      </c>
      <c r="E436" s="1">
        <v>44996</v>
      </c>
      <c r="F436" s="4">
        <v>94561</v>
      </c>
      <c r="G436" s="4">
        <v>448215</v>
      </c>
      <c r="H436" s="2">
        <v>3758</v>
      </c>
      <c r="I436" s="16">
        <v>13</v>
      </c>
      <c r="J436" s="1">
        <v>45009</v>
      </c>
      <c r="K436" s="3">
        <v>0.21099999999999999</v>
      </c>
      <c r="L436" s="13">
        <f t="shared" si="14"/>
        <v>8.3843691085751253</v>
      </c>
      <c r="M436" s="16">
        <f t="shared" si="15"/>
        <v>7273.9230769230771</v>
      </c>
    </row>
    <row r="437" spans="1:13" x14ac:dyDescent="0.3">
      <c r="A437">
        <v>100435</v>
      </c>
      <c r="B437" t="s">
        <v>18</v>
      </c>
      <c r="C437" t="s">
        <v>11</v>
      </c>
      <c r="D437" t="s">
        <v>22</v>
      </c>
      <c r="E437" s="1">
        <v>44997</v>
      </c>
      <c r="F437" s="4">
        <v>86420</v>
      </c>
      <c r="G437" s="4">
        <v>854051</v>
      </c>
      <c r="H437" s="2">
        <v>819</v>
      </c>
      <c r="I437" s="16">
        <v>13</v>
      </c>
      <c r="J437" s="1">
        <v>45010</v>
      </c>
      <c r="K437" s="3">
        <v>0.1012</v>
      </c>
      <c r="L437" s="13">
        <f t="shared" si="14"/>
        <v>0.95895912539180916</v>
      </c>
      <c r="M437" s="16">
        <f t="shared" si="15"/>
        <v>6647.6923076923076</v>
      </c>
    </row>
    <row r="438" spans="1:13" x14ac:dyDescent="0.3">
      <c r="A438">
        <v>100436</v>
      </c>
      <c r="B438" t="s">
        <v>18</v>
      </c>
      <c r="C438" t="s">
        <v>14</v>
      </c>
      <c r="D438" t="s">
        <v>17</v>
      </c>
      <c r="E438" s="1">
        <v>44998</v>
      </c>
      <c r="F438" s="4">
        <v>37967</v>
      </c>
      <c r="G438" s="4">
        <v>51332</v>
      </c>
      <c r="H438" s="2">
        <v>222</v>
      </c>
      <c r="I438" s="16">
        <v>13</v>
      </c>
      <c r="J438" s="1">
        <v>45011</v>
      </c>
      <c r="K438" s="3">
        <v>0.73960000000000004</v>
      </c>
      <c r="L438" s="13">
        <f t="shared" si="14"/>
        <v>4.3247876568222559</v>
      </c>
      <c r="M438" s="16">
        <f t="shared" si="15"/>
        <v>2920.5384615384614</v>
      </c>
    </row>
    <row r="439" spans="1:13" x14ac:dyDescent="0.3">
      <c r="A439">
        <v>100437</v>
      </c>
      <c r="B439" t="s">
        <v>13</v>
      </c>
      <c r="C439" t="s">
        <v>25</v>
      </c>
      <c r="D439" t="s">
        <v>15</v>
      </c>
      <c r="E439" s="1">
        <v>44999</v>
      </c>
      <c r="F439" s="4">
        <v>4776</v>
      </c>
      <c r="G439" s="4">
        <v>524131</v>
      </c>
      <c r="H439" s="2">
        <v>455</v>
      </c>
      <c r="I439" s="16">
        <v>17</v>
      </c>
      <c r="J439" s="1">
        <v>45016</v>
      </c>
      <c r="K439" s="3">
        <v>9.1000000000000004E-3</v>
      </c>
      <c r="L439" s="13">
        <f t="shared" si="14"/>
        <v>0.86810358479082517</v>
      </c>
      <c r="M439" s="16">
        <f t="shared" si="15"/>
        <v>280.94117647058823</v>
      </c>
    </row>
    <row r="440" spans="1:13" x14ac:dyDescent="0.3">
      <c r="A440">
        <v>100438</v>
      </c>
      <c r="B440" t="s">
        <v>10</v>
      </c>
      <c r="C440" t="s">
        <v>20</v>
      </c>
      <c r="D440" t="s">
        <v>15</v>
      </c>
      <c r="E440" s="1">
        <v>45000</v>
      </c>
      <c r="F440" s="4">
        <v>19511</v>
      </c>
      <c r="G440" s="4">
        <v>192767</v>
      </c>
      <c r="H440" s="2">
        <v>1209</v>
      </c>
      <c r="I440" s="16">
        <v>2</v>
      </c>
      <c r="J440" s="1">
        <v>45002</v>
      </c>
      <c r="K440" s="3">
        <v>0.1012</v>
      </c>
      <c r="L440" s="13">
        <f t="shared" si="14"/>
        <v>6.27182038419439</v>
      </c>
      <c r="M440" s="16">
        <f t="shared" si="15"/>
        <v>9755.5</v>
      </c>
    </row>
    <row r="441" spans="1:13" x14ac:dyDescent="0.3">
      <c r="A441">
        <v>100439</v>
      </c>
      <c r="B441" t="s">
        <v>13</v>
      </c>
      <c r="C441" t="s">
        <v>25</v>
      </c>
      <c r="D441" t="s">
        <v>15</v>
      </c>
      <c r="E441" s="1">
        <v>45001</v>
      </c>
      <c r="F441" s="4">
        <v>35858</v>
      </c>
      <c r="G441" s="4">
        <v>845219</v>
      </c>
      <c r="H441" s="2">
        <v>4510</v>
      </c>
      <c r="I441" s="16">
        <v>13</v>
      </c>
      <c r="J441" s="1">
        <v>45014</v>
      </c>
      <c r="K441" s="3">
        <v>4.24E-2</v>
      </c>
      <c r="L441" s="13">
        <f t="shared" si="14"/>
        <v>5.3358951940266373</v>
      </c>
      <c r="M441" s="16">
        <f t="shared" si="15"/>
        <v>2758.3076923076924</v>
      </c>
    </row>
    <row r="442" spans="1:13" x14ac:dyDescent="0.3">
      <c r="A442">
        <v>100440</v>
      </c>
      <c r="B442" t="s">
        <v>10</v>
      </c>
      <c r="C442" t="s">
        <v>20</v>
      </c>
      <c r="D442" t="s">
        <v>22</v>
      </c>
      <c r="E442" s="1">
        <v>45002</v>
      </c>
      <c r="F442" s="4">
        <v>93639</v>
      </c>
      <c r="G442" s="4">
        <v>302517</v>
      </c>
      <c r="H442" s="2">
        <v>3771</v>
      </c>
      <c r="I442" s="16">
        <v>28</v>
      </c>
      <c r="J442" s="1">
        <v>45030</v>
      </c>
      <c r="K442" s="3">
        <v>0.3095</v>
      </c>
      <c r="L442" s="13">
        <f t="shared" si="14"/>
        <v>12.46541516675096</v>
      </c>
      <c r="M442" s="16">
        <f t="shared" si="15"/>
        <v>3344.25</v>
      </c>
    </row>
    <row r="443" spans="1:13" x14ac:dyDescent="0.3">
      <c r="A443">
        <v>100441</v>
      </c>
      <c r="B443" t="s">
        <v>18</v>
      </c>
      <c r="C443" t="s">
        <v>14</v>
      </c>
      <c r="D443" t="s">
        <v>12</v>
      </c>
      <c r="E443" s="1">
        <v>45003</v>
      </c>
      <c r="F443" s="4">
        <v>39477</v>
      </c>
      <c r="G443" s="4">
        <v>67477</v>
      </c>
      <c r="H443" s="2">
        <v>1604</v>
      </c>
      <c r="I443" s="16">
        <v>21</v>
      </c>
      <c r="J443" s="1">
        <v>45024</v>
      </c>
      <c r="K443" s="3">
        <v>0.58499999999999996</v>
      </c>
      <c r="L443" s="13">
        <f t="shared" si="14"/>
        <v>23.771062732486627</v>
      </c>
      <c r="M443" s="16">
        <f t="shared" si="15"/>
        <v>1879.8571428571429</v>
      </c>
    </row>
    <row r="444" spans="1:13" x14ac:dyDescent="0.3">
      <c r="A444">
        <v>100442</v>
      </c>
      <c r="B444" t="s">
        <v>10</v>
      </c>
      <c r="C444" t="s">
        <v>21</v>
      </c>
      <c r="D444" t="s">
        <v>12</v>
      </c>
      <c r="E444" s="1">
        <v>45004</v>
      </c>
      <c r="F444" s="4">
        <v>77952</v>
      </c>
      <c r="G444" s="4">
        <v>930316</v>
      </c>
      <c r="H444" s="2">
        <v>1138</v>
      </c>
      <c r="I444" s="16">
        <v>21</v>
      </c>
      <c r="J444" s="1">
        <v>45025</v>
      </c>
      <c r="K444" s="3">
        <v>8.3799999999999999E-2</v>
      </c>
      <c r="L444" s="13">
        <f t="shared" si="14"/>
        <v>1.2232402753473013</v>
      </c>
      <c r="M444" s="16">
        <f t="shared" si="15"/>
        <v>3712</v>
      </c>
    </row>
    <row r="445" spans="1:13" x14ac:dyDescent="0.3">
      <c r="A445">
        <v>100443</v>
      </c>
      <c r="B445" t="s">
        <v>18</v>
      </c>
      <c r="C445" t="s">
        <v>11</v>
      </c>
      <c r="D445" t="s">
        <v>22</v>
      </c>
      <c r="E445" s="1">
        <v>45005</v>
      </c>
      <c r="F445" s="4">
        <v>40802</v>
      </c>
      <c r="G445" s="4">
        <v>652291</v>
      </c>
      <c r="H445" s="2">
        <v>62</v>
      </c>
      <c r="I445" s="16">
        <v>7</v>
      </c>
      <c r="J445" s="1">
        <v>45012</v>
      </c>
      <c r="K445" s="3">
        <v>6.2600000000000003E-2</v>
      </c>
      <c r="L445" s="13">
        <f t="shared" si="14"/>
        <v>9.5049602094770577E-2</v>
      </c>
      <c r="M445" s="16">
        <f t="shared" si="15"/>
        <v>5828.8571428571431</v>
      </c>
    </row>
    <row r="446" spans="1:13" x14ac:dyDescent="0.3">
      <c r="A446">
        <v>100444</v>
      </c>
      <c r="B446" t="s">
        <v>18</v>
      </c>
      <c r="C446" t="s">
        <v>11</v>
      </c>
      <c r="D446" t="s">
        <v>17</v>
      </c>
      <c r="E446" s="1">
        <v>45006</v>
      </c>
      <c r="F446" s="4">
        <v>98131</v>
      </c>
      <c r="G446" s="4">
        <v>251441</v>
      </c>
      <c r="H446" s="2">
        <v>4037</v>
      </c>
      <c r="I446" s="16">
        <v>23</v>
      </c>
      <c r="J446" s="1">
        <v>45029</v>
      </c>
      <c r="K446" s="3">
        <v>0.39029999999999998</v>
      </c>
      <c r="L446" s="13">
        <f t="shared" si="14"/>
        <v>16.055456349600899</v>
      </c>
      <c r="M446" s="16">
        <f t="shared" si="15"/>
        <v>4266.565217391304</v>
      </c>
    </row>
    <row r="447" spans="1:13" x14ac:dyDescent="0.3">
      <c r="A447">
        <v>100445</v>
      </c>
      <c r="B447" t="s">
        <v>10</v>
      </c>
      <c r="C447" t="s">
        <v>16</v>
      </c>
      <c r="D447" t="s">
        <v>24</v>
      </c>
      <c r="E447" s="1">
        <v>45007</v>
      </c>
      <c r="F447" s="4">
        <v>12331</v>
      </c>
      <c r="G447" s="4">
        <v>646822</v>
      </c>
      <c r="H447" s="2">
        <v>3100</v>
      </c>
      <c r="I447" s="16">
        <v>25</v>
      </c>
      <c r="J447" s="1">
        <v>45032</v>
      </c>
      <c r="K447" s="3">
        <v>1.9099999999999999E-2</v>
      </c>
      <c r="L447" s="13">
        <f t="shared" si="14"/>
        <v>4.7926632056423566</v>
      </c>
      <c r="M447" s="16">
        <f t="shared" si="15"/>
        <v>493.24</v>
      </c>
    </row>
    <row r="448" spans="1:13" x14ac:dyDescent="0.3">
      <c r="A448">
        <v>100446</v>
      </c>
      <c r="B448" t="s">
        <v>19</v>
      </c>
      <c r="C448" t="s">
        <v>14</v>
      </c>
      <c r="D448" t="s">
        <v>15</v>
      </c>
      <c r="E448" s="1">
        <v>45008</v>
      </c>
      <c r="F448" s="4">
        <v>21117</v>
      </c>
      <c r="G448" s="4">
        <v>365299</v>
      </c>
      <c r="H448" s="2">
        <v>688</v>
      </c>
      <c r="I448" s="16">
        <v>7</v>
      </c>
      <c r="J448" s="1">
        <v>45015</v>
      </c>
      <c r="K448" s="3">
        <v>5.7799999999999997E-2</v>
      </c>
      <c r="L448" s="13">
        <f t="shared" si="14"/>
        <v>1.8833886761255847</v>
      </c>
      <c r="M448" s="16">
        <f t="shared" si="15"/>
        <v>3016.7142857142858</v>
      </c>
    </row>
    <row r="449" spans="1:13" x14ac:dyDescent="0.3">
      <c r="A449">
        <v>100447</v>
      </c>
      <c r="B449" t="s">
        <v>13</v>
      </c>
      <c r="C449" t="s">
        <v>23</v>
      </c>
      <c r="D449" t="s">
        <v>17</v>
      </c>
      <c r="E449" s="1">
        <v>45009</v>
      </c>
      <c r="F449" s="4">
        <v>38002</v>
      </c>
      <c r="G449" s="4">
        <v>313675</v>
      </c>
      <c r="H449" s="2">
        <v>3621</v>
      </c>
      <c r="I449" s="16">
        <v>10</v>
      </c>
      <c r="J449" s="1">
        <v>45019</v>
      </c>
      <c r="K449" s="3">
        <v>0.1212</v>
      </c>
      <c r="L449" s="13">
        <f t="shared" si="14"/>
        <v>11.543795329560851</v>
      </c>
      <c r="M449" s="16">
        <f t="shared" si="15"/>
        <v>3800.2</v>
      </c>
    </row>
    <row r="450" spans="1:13" x14ac:dyDescent="0.3">
      <c r="A450">
        <v>100448</v>
      </c>
      <c r="B450" t="s">
        <v>18</v>
      </c>
      <c r="C450" t="s">
        <v>16</v>
      </c>
      <c r="D450" t="s">
        <v>24</v>
      </c>
      <c r="E450" s="1">
        <v>45010</v>
      </c>
      <c r="F450" s="4">
        <v>29308</v>
      </c>
      <c r="G450" s="4">
        <v>460795</v>
      </c>
      <c r="H450" s="2">
        <v>3074</v>
      </c>
      <c r="I450" s="16">
        <v>28</v>
      </c>
      <c r="J450" s="1">
        <v>45038</v>
      </c>
      <c r="K450" s="3">
        <v>6.3600000000000004E-2</v>
      </c>
      <c r="L450" s="13">
        <f t="shared" ref="L450:L513" si="16">H450/G450*1000</f>
        <v>6.6710793302878724</v>
      </c>
      <c r="M450" s="16">
        <f t="shared" ref="M450:M513" si="17">IFERROR(F450/I450,"No Data")</f>
        <v>1046.7142857142858</v>
      </c>
    </row>
    <row r="451" spans="1:13" x14ac:dyDescent="0.3">
      <c r="A451">
        <v>100449</v>
      </c>
      <c r="B451" t="s">
        <v>13</v>
      </c>
      <c r="C451" t="s">
        <v>21</v>
      </c>
      <c r="D451" t="s">
        <v>24</v>
      </c>
      <c r="E451" s="1">
        <v>45011</v>
      </c>
      <c r="F451" s="4">
        <v>73104</v>
      </c>
      <c r="G451" s="4">
        <v>809768</v>
      </c>
      <c r="H451" s="2">
        <v>3874</v>
      </c>
      <c r="I451" s="16">
        <v>2</v>
      </c>
      <c r="J451" s="1">
        <v>45013</v>
      </c>
      <c r="K451" s="3">
        <v>9.0300000000000005E-2</v>
      </c>
      <c r="L451" s="13">
        <f t="shared" si="16"/>
        <v>4.7840863062012824</v>
      </c>
      <c r="M451" s="16">
        <f t="shared" si="17"/>
        <v>36552</v>
      </c>
    </row>
    <row r="452" spans="1:13" x14ac:dyDescent="0.3">
      <c r="A452">
        <v>100450</v>
      </c>
      <c r="B452" t="s">
        <v>18</v>
      </c>
      <c r="C452" t="s">
        <v>25</v>
      </c>
      <c r="D452" t="s">
        <v>15</v>
      </c>
      <c r="E452" s="1">
        <v>45012</v>
      </c>
      <c r="F452" s="4">
        <v>83069</v>
      </c>
      <c r="G452" s="4">
        <v>545772</v>
      </c>
      <c r="H452" s="2">
        <v>3212</v>
      </c>
      <c r="I452" s="16">
        <v>20</v>
      </c>
      <c r="J452" s="1">
        <v>45032</v>
      </c>
      <c r="K452" s="3">
        <v>0.1522</v>
      </c>
      <c r="L452" s="13">
        <f t="shared" si="16"/>
        <v>5.8852414561391937</v>
      </c>
      <c r="M452" s="16">
        <f t="shared" si="17"/>
        <v>4153.45</v>
      </c>
    </row>
    <row r="453" spans="1:13" x14ac:dyDescent="0.3">
      <c r="A453">
        <v>100451</v>
      </c>
      <c r="B453" t="s">
        <v>10</v>
      </c>
      <c r="C453" t="s">
        <v>16</v>
      </c>
      <c r="D453" t="s">
        <v>15</v>
      </c>
      <c r="E453" s="1">
        <v>45013</v>
      </c>
      <c r="F453" s="4">
        <v>16596</v>
      </c>
      <c r="G453" s="4">
        <v>283655</v>
      </c>
      <c r="H453" s="2">
        <v>1127</v>
      </c>
      <c r="I453" s="16">
        <v>11</v>
      </c>
      <c r="J453" s="1">
        <v>45024</v>
      </c>
      <c r="K453" s="3">
        <v>5.8500000000000003E-2</v>
      </c>
      <c r="L453" s="13">
        <f t="shared" si="16"/>
        <v>3.9731363804621811</v>
      </c>
      <c r="M453" s="16">
        <f t="shared" si="17"/>
        <v>1508.7272727272727</v>
      </c>
    </row>
    <row r="454" spans="1:13" x14ac:dyDescent="0.3">
      <c r="A454">
        <v>100452</v>
      </c>
      <c r="B454" t="s">
        <v>10</v>
      </c>
      <c r="C454" t="s">
        <v>21</v>
      </c>
      <c r="D454" t="s">
        <v>15</v>
      </c>
      <c r="E454" s="1">
        <v>45014</v>
      </c>
      <c r="F454" s="4">
        <v>61382</v>
      </c>
      <c r="G454" s="4">
        <v>529441</v>
      </c>
      <c r="H454" s="2">
        <v>3110</v>
      </c>
      <c r="I454" s="16">
        <v>6</v>
      </c>
      <c r="J454" s="1">
        <v>45020</v>
      </c>
      <c r="K454" s="3">
        <v>0.1159</v>
      </c>
      <c r="L454" s="13">
        <f t="shared" si="16"/>
        <v>5.8741200624809942</v>
      </c>
      <c r="M454" s="16">
        <f t="shared" si="17"/>
        <v>10230.333333333334</v>
      </c>
    </row>
    <row r="455" spans="1:13" x14ac:dyDescent="0.3">
      <c r="A455">
        <v>100453</v>
      </c>
      <c r="B455" t="s">
        <v>18</v>
      </c>
      <c r="C455" t="s">
        <v>14</v>
      </c>
      <c r="D455" t="s">
        <v>12</v>
      </c>
      <c r="E455" s="1">
        <v>45015</v>
      </c>
      <c r="F455" s="4">
        <v>42273</v>
      </c>
      <c r="G455" s="4">
        <v>315003</v>
      </c>
      <c r="H455" s="2">
        <v>1574</v>
      </c>
      <c r="I455" s="16">
        <v>12</v>
      </c>
      <c r="J455" s="1">
        <v>45027</v>
      </c>
      <c r="K455" s="3">
        <v>0.13420000000000001</v>
      </c>
      <c r="L455" s="13">
        <f t="shared" si="16"/>
        <v>4.9967778084653167</v>
      </c>
      <c r="M455" s="16">
        <f t="shared" si="17"/>
        <v>3522.75</v>
      </c>
    </row>
    <row r="456" spans="1:13" x14ac:dyDescent="0.3">
      <c r="A456">
        <v>100454</v>
      </c>
      <c r="B456" t="s">
        <v>18</v>
      </c>
      <c r="C456" t="s">
        <v>11</v>
      </c>
      <c r="D456" t="s">
        <v>22</v>
      </c>
      <c r="E456" s="1">
        <v>45016</v>
      </c>
      <c r="F456" s="4">
        <v>10011</v>
      </c>
      <c r="G456" s="4">
        <v>792876</v>
      </c>
      <c r="H456" s="2">
        <v>584</v>
      </c>
      <c r="I456" s="16">
        <v>7</v>
      </c>
      <c r="J456" s="1">
        <v>45023</v>
      </c>
      <c r="K456" s="3">
        <v>1.26E-2</v>
      </c>
      <c r="L456" s="13">
        <f t="shared" si="16"/>
        <v>0.73655905841518721</v>
      </c>
      <c r="M456" s="16">
        <f t="shared" si="17"/>
        <v>1430.1428571428571</v>
      </c>
    </row>
    <row r="457" spans="1:13" x14ac:dyDescent="0.3">
      <c r="A457">
        <v>100455</v>
      </c>
      <c r="B457" t="s">
        <v>18</v>
      </c>
      <c r="C457" t="s">
        <v>16</v>
      </c>
      <c r="D457" t="s">
        <v>22</v>
      </c>
      <c r="E457" s="1">
        <v>45017</v>
      </c>
      <c r="F457" s="4">
        <v>60669</v>
      </c>
      <c r="G457" s="4">
        <v>894784</v>
      </c>
      <c r="H457" s="2">
        <v>1209</v>
      </c>
      <c r="I457" s="16">
        <v>24</v>
      </c>
      <c r="J457" s="1">
        <v>45041</v>
      </c>
      <c r="K457" s="3">
        <v>6.7799999999999999E-2</v>
      </c>
      <c r="L457" s="13">
        <f t="shared" si="16"/>
        <v>1.3511640798226163</v>
      </c>
      <c r="M457" s="16">
        <f t="shared" si="17"/>
        <v>2527.875</v>
      </c>
    </row>
    <row r="458" spans="1:13" x14ac:dyDescent="0.3">
      <c r="A458">
        <v>100456</v>
      </c>
      <c r="B458" t="s">
        <v>19</v>
      </c>
      <c r="C458" t="s">
        <v>16</v>
      </c>
      <c r="D458" t="s">
        <v>17</v>
      </c>
      <c r="E458" s="1">
        <v>45018</v>
      </c>
      <c r="F458" s="4">
        <v>70678</v>
      </c>
      <c r="G458" s="4">
        <v>820891</v>
      </c>
      <c r="H458" s="2">
        <v>1748</v>
      </c>
      <c r="I458" s="16">
        <v>8</v>
      </c>
      <c r="J458" s="1">
        <v>45026</v>
      </c>
      <c r="K458" s="3">
        <v>8.6099999999999996E-2</v>
      </c>
      <c r="L458" s="13">
        <f t="shared" si="16"/>
        <v>2.1293935492044622</v>
      </c>
      <c r="M458" s="16">
        <f t="shared" si="17"/>
        <v>8834.75</v>
      </c>
    </row>
    <row r="459" spans="1:13" x14ac:dyDescent="0.3">
      <c r="A459">
        <v>100457</v>
      </c>
      <c r="B459" t="s">
        <v>13</v>
      </c>
      <c r="C459" t="s">
        <v>16</v>
      </c>
      <c r="D459" t="s">
        <v>22</v>
      </c>
      <c r="E459" s="1">
        <v>45019</v>
      </c>
      <c r="F459" s="4">
        <v>62718</v>
      </c>
      <c r="G459" s="4">
        <v>195735</v>
      </c>
      <c r="H459" s="2">
        <v>687</v>
      </c>
      <c r="I459" s="16">
        <v>24</v>
      </c>
      <c r="J459" s="1">
        <v>45043</v>
      </c>
      <c r="K459" s="3">
        <v>0.32040000000000002</v>
      </c>
      <c r="L459" s="13">
        <f t="shared" si="16"/>
        <v>3.5098474978925589</v>
      </c>
      <c r="M459" s="16">
        <f t="shared" si="17"/>
        <v>2613.25</v>
      </c>
    </row>
    <row r="460" spans="1:13" x14ac:dyDescent="0.3">
      <c r="A460">
        <v>100458</v>
      </c>
      <c r="B460" t="s">
        <v>10</v>
      </c>
      <c r="C460" t="s">
        <v>16</v>
      </c>
      <c r="D460" t="s">
        <v>15</v>
      </c>
      <c r="E460" s="1">
        <v>45020</v>
      </c>
      <c r="F460" s="4">
        <v>83165</v>
      </c>
      <c r="G460" s="4">
        <v>184982</v>
      </c>
      <c r="H460" s="2">
        <v>4985</v>
      </c>
      <c r="I460" s="16">
        <v>10</v>
      </c>
      <c r="J460" s="1">
        <v>45030</v>
      </c>
      <c r="K460" s="3">
        <v>0.4496</v>
      </c>
      <c r="L460" s="13">
        <f t="shared" si="16"/>
        <v>26.94856796877534</v>
      </c>
      <c r="M460" s="16">
        <f t="shared" si="17"/>
        <v>8316.5</v>
      </c>
    </row>
    <row r="461" spans="1:13" x14ac:dyDescent="0.3">
      <c r="A461">
        <v>100459</v>
      </c>
      <c r="B461" t="s">
        <v>13</v>
      </c>
      <c r="C461" t="s">
        <v>20</v>
      </c>
      <c r="D461" t="s">
        <v>12</v>
      </c>
      <c r="E461" s="1">
        <v>45021</v>
      </c>
      <c r="F461" s="4">
        <v>95437</v>
      </c>
      <c r="G461" s="4">
        <v>445231</v>
      </c>
      <c r="H461" s="2">
        <v>94</v>
      </c>
      <c r="I461" s="16">
        <v>5</v>
      </c>
      <c r="J461" s="1">
        <v>45026</v>
      </c>
      <c r="K461" s="3">
        <v>0.21440000000000001</v>
      </c>
      <c r="L461" s="13">
        <f t="shared" si="16"/>
        <v>0.21112635912593689</v>
      </c>
      <c r="M461" s="16">
        <f t="shared" si="17"/>
        <v>19087.400000000001</v>
      </c>
    </row>
    <row r="462" spans="1:13" x14ac:dyDescent="0.3">
      <c r="A462">
        <v>100460</v>
      </c>
      <c r="B462" t="s">
        <v>13</v>
      </c>
      <c r="C462" t="s">
        <v>11</v>
      </c>
      <c r="D462" t="s">
        <v>12</v>
      </c>
      <c r="E462" s="1">
        <v>45022</v>
      </c>
      <c r="F462" s="4">
        <v>21060</v>
      </c>
      <c r="G462" s="4">
        <v>275370</v>
      </c>
      <c r="H462" s="2">
        <v>4090</v>
      </c>
      <c r="I462" s="16">
        <v>10</v>
      </c>
      <c r="J462" s="1">
        <v>45032</v>
      </c>
      <c r="K462" s="3">
        <v>7.6499999999999999E-2</v>
      </c>
      <c r="L462" s="13">
        <f t="shared" si="16"/>
        <v>14.852743581363256</v>
      </c>
      <c r="M462" s="16">
        <f t="shared" si="17"/>
        <v>2106</v>
      </c>
    </row>
    <row r="463" spans="1:13" x14ac:dyDescent="0.3">
      <c r="A463">
        <v>100461</v>
      </c>
      <c r="B463" t="s">
        <v>18</v>
      </c>
      <c r="C463" t="s">
        <v>14</v>
      </c>
      <c r="D463" t="s">
        <v>17</v>
      </c>
      <c r="E463" s="1">
        <v>45023</v>
      </c>
      <c r="F463" s="4">
        <v>56817</v>
      </c>
      <c r="G463" s="4">
        <v>891924</v>
      </c>
      <c r="H463" s="2">
        <v>3881</v>
      </c>
      <c r="I463" s="16">
        <v>20</v>
      </c>
      <c r="J463" s="1">
        <v>45043</v>
      </c>
      <c r="K463" s="3">
        <v>6.3700000000000007E-2</v>
      </c>
      <c r="L463" s="13">
        <f t="shared" si="16"/>
        <v>4.3512675967907581</v>
      </c>
      <c r="M463" s="16">
        <f t="shared" si="17"/>
        <v>2840.85</v>
      </c>
    </row>
    <row r="464" spans="1:13" x14ac:dyDescent="0.3">
      <c r="A464">
        <v>100462</v>
      </c>
      <c r="B464" t="s">
        <v>19</v>
      </c>
      <c r="C464" t="s">
        <v>21</v>
      </c>
      <c r="D464" t="s">
        <v>24</v>
      </c>
      <c r="E464" s="1">
        <v>45024</v>
      </c>
      <c r="F464" s="4">
        <v>35377</v>
      </c>
      <c r="G464" s="4">
        <v>112399</v>
      </c>
      <c r="H464" s="2">
        <v>2138</v>
      </c>
      <c r="I464" s="16">
        <v>27</v>
      </c>
      <c r="J464" s="1">
        <v>45051</v>
      </c>
      <c r="K464" s="3">
        <v>0.31469999999999998</v>
      </c>
      <c r="L464" s="13">
        <f t="shared" si="16"/>
        <v>19.021521543785976</v>
      </c>
      <c r="M464" s="16">
        <f t="shared" si="17"/>
        <v>1310.2592592592594</v>
      </c>
    </row>
    <row r="465" spans="1:13" x14ac:dyDescent="0.3">
      <c r="A465">
        <v>100463</v>
      </c>
      <c r="B465" t="s">
        <v>18</v>
      </c>
      <c r="C465" t="s">
        <v>11</v>
      </c>
      <c r="D465" t="s">
        <v>17</v>
      </c>
      <c r="E465" s="1">
        <v>45025</v>
      </c>
      <c r="F465" s="4">
        <v>437</v>
      </c>
      <c r="G465" s="4">
        <v>246907</v>
      </c>
      <c r="H465" s="2">
        <v>3529</v>
      </c>
      <c r="I465" s="16">
        <v>17</v>
      </c>
      <c r="J465" s="1">
        <v>45042</v>
      </c>
      <c r="K465" s="3">
        <v>1.8E-3</v>
      </c>
      <c r="L465" s="13">
        <f t="shared" si="16"/>
        <v>14.292830903943589</v>
      </c>
      <c r="M465" s="16">
        <f t="shared" si="17"/>
        <v>25.705882352941178</v>
      </c>
    </row>
    <row r="466" spans="1:13" x14ac:dyDescent="0.3">
      <c r="A466">
        <v>100464</v>
      </c>
      <c r="B466" t="s">
        <v>13</v>
      </c>
      <c r="C466" t="s">
        <v>20</v>
      </c>
      <c r="D466" t="s">
        <v>15</v>
      </c>
      <c r="E466" s="1">
        <v>45026</v>
      </c>
      <c r="F466" s="4">
        <v>74296</v>
      </c>
      <c r="G466" s="4">
        <v>83613</v>
      </c>
      <c r="H466" s="2">
        <v>524</v>
      </c>
      <c r="I466" s="16">
        <v>8</v>
      </c>
      <c r="J466" s="1">
        <v>45034</v>
      </c>
      <c r="K466" s="3">
        <v>0.88859999999999995</v>
      </c>
      <c r="L466" s="13">
        <f t="shared" si="16"/>
        <v>6.2669680552067257</v>
      </c>
      <c r="M466" s="16">
        <f t="shared" si="17"/>
        <v>9287</v>
      </c>
    </row>
    <row r="467" spans="1:13" x14ac:dyDescent="0.3">
      <c r="A467">
        <v>100465</v>
      </c>
      <c r="B467" t="s">
        <v>13</v>
      </c>
      <c r="C467" t="s">
        <v>14</v>
      </c>
      <c r="D467" t="s">
        <v>24</v>
      </c>
      <c r="E467" s="1">
        <v>45027</v>
      </c>
      <c r="F467" s="4">
        <v>9906</v>
      </c>
      <c r="G467" s="4">
        <v>589198</v>
      </c>
      <c r="H467" s="2">
        <v>1570</v>
      </c>
      <c r="I467" s="16">
        <v>9</v>
      </c>
      <c r="J467" s="1">
        <v>45036</v>
      </c>
      <c r="K467" s="3">
        <v>1.6799999999999999E-2</v>
      </c>
      <c r="L467" s="13">
        <f t="shared" si="16"/>
        <v>2.6646390517279421</v>
      </c>
      <c r="M467" s="16">
        <f t="shared" si="17"/>
        <v>1100.6666666666667</v>
      </c>
    </row>
    <row r="468" spans="1:13" x14ac:dyDescent="0.3">
      <c r="A468">
        <v>100466</v>
      </c>
      <c r="B468" t="s">
        <v>13</v>
      </c>
      <c r="C468" t="s">
        <v>23</v>
      </c>
      <c r="D468" t="s">
        <v>24</v>
      </c>
      <c r="E468" s="1">
        <v>45028</v>
      </c>
      <c r="F468" s="4">
        <v>87037</v>
      </c>
      <c r="G468" s="4">
        <v>98263</v>
      </c>
      <c r="H468" s="2">
        <v>513</v>
      </c>
      <c r="I468" s="16">
        <v>6</v>
      </c>
      <c r="J468" s="1">
        <v>45034</v>
      </c>
      <c r="K468" s="3">
        <v>0.88580000000000003</v>
      </c>
      <c r="L468" s="13">
        <f t="shared" si="16"/>
        <v>5.2206832683716149</v>
      </c>
      <c r="M468" s="16">
        <f t="shared" si="17"/>
        <v>14506.166666666666</v>
      </c>
    </row>
    <row r="469" spans="1:13" x14ac:dyDescent="0.3">
      <c r="A469">
        <v>100467</v>
      </c>
      <c r="B469" t="s">
        <v>19</v>
      </c>
      <c r="C469" t="s">
        <v>14</v>
      </c>
      <c r="D469" t="s">
        <v>17</v>
      </c>
      <c r="E469" s="1">
        <v>45029</v>
      </c>
      <c r="F469" s="4">
        <v>40763</v>
      </c>
      <c r="G469" s="4">
        <v>588338</v>
      </c>
      <c r="H469" s="2">
        <v>1707</v>
      </c>
      <c r="I469" s="16">
        <v>9</v>
      </c>
      <c r="J469" s="1">
        <v>45038</v>
      </c>
      <c r="K469" s="3">
        <v>6.93E-2</v>
      </c>
      <c r="L469" s="13">
        <f t="shared" si="16"/>
        <v>2.9013934167094426</v>
      </c>
      <c r="M469" s="16">
        <f t="shared" si="17"/>
        <v>4529.2222222222226</v>
      </c>
    </row>
    <row r="470" spans="1:13" x14ac:dyDescent="0.3">
      <c r="A470">
        <v>100468</v>
      </c>
      <c r="B470" t="s">
        <v>18</v>
      </c>
      <c r="C470" t="s">
        <v>25</v>
      </c>
      <c r="D470" t="s">
        <v>15</v>
      </c>
      <c r="E470" s="1">
        <v>45030</v>
      </c>
      <c r="F470" s="4">
        <v>89215</v>
      </c>
      <c r="G470" s="4">
        <v>570723</v>
      </c>
      <c r="H470" s="2">
        <v>842</v>
      </c>
      <c r="I470" s="16">
        <v>10</v>
      </c>
      <c r="J470" s="1">
        <v>45040</v>
      </c>
      <c r="K470" s="3">
        <v>0.15629999999999999</v>
      </c>
      <c r="L470" s="13">
        <f t="shared" si="16"/>
        <v>1.4753216534115499</v>
      </c>
      <c r="M470" s="16">
        <f t="shared" si="17"/>
        <v>8921.5</v>
      </c>
    </row>
    <row r="471" spans="1:13" x14ac:dyDescent="0.3">
      <c r="A471">
        <v>100469</v>
      </c>
      <c r="B471" t="s">
        <v>13</v>
      </c>
      <c r="C471" t="s">
        <v>11</v>
      </c>
      <c r="D471" t="s">
        <v>15</v>
      </c>
      <c r="E471" s="1">
        <v>45031</v>
      </c>
      <c r="F471" s="4">
        <v>5409</v>
      </c>
      <c r="G471" s="4">
        <v>642939</v>
      </c>
      <c r="H471" s="2">
        <v>1857</v>
      </c>
      <c r="I471" s="16">
        <v>18</v>
      </c>
      <c r="J471" s="1">
        <v>45049</v>
      </c>
      <c r="K471" s="3">
        <v>8.3999999999999995E-3</v>
      </c>
      <c r="L471" s="13">
        <f t="shared" si="16"/>
        <v>2.8882988899413471</v>
      </c>
      <c r="M471" s="16">
        <f t="shared" si="17"/>
        <v>300.5</v>
      </c>
    </row>
    <row r="472" spans="1:13" x14ac:dyDescent="0.3">
      <c r="A472">
        <v>100470</v>
      </c>
      <c r="B472" t="s">
        <v>13</v>
      </c>
      <c r="C472" t="s">
        <v>20</v>
      </c>
      <c r="D472" t="s">
        <v>17</v>
      </c>
      <c r="E472" s="1">
        <v>45032</v>
      </c>
      <c r="F472" s="4">
        <v>92811</v>
      </c>
      <c r="G472" s="4">
        <v>110221</v>
      </c>
      <c r="H472" s="2">
        <v>628</v>
      </c>
      <c r="I472" s="16">
        <v>25</v>
      </c>
      <c r="J472" s="1">
        <v>45057</v>
      </c>
      <c r="K472" s="3">
        <v>0.84199999999999997</v>
      </c>
      <c r="L472" s="13">
        <f t="shared" si="16"/>
        <v>5.6976438246795071</v>
      </c>
      <c r="M472" s="16">
        <f t="shared" si="17"/>
        <v>3712.44</v>
      </c>
    </row>
    <row r="473" spans="1:13" x14ac:dyDescent="0.3">
      <c r="A473">
        <v>100471</v>
      </c>
      <c r="B473" t="s">
        <v>13</v>
      </c>
      <c r="C473" t="s">
        <v>16</v>
      </c>
      <c r="D473" t="s">
        <v>15</v>
      </c>
      <c r="E473" s="1">
        <v>45033</v>
      </c>
      <c r="F473" s="4">
        <v>35641</v>
      </c>
      <c r="G473" s="4">
        <v>540783</v>
      </c>
      <c r="H473" s="2">
        <v>938</v>
      </c>
      <c r="I473" s="16">
        <v>23</v>
      </c>
      <c r="J473" s="1">
        <v>45056</v>
      </c>
      <c r="K473" s="3">
        <v>6.59E-2</v>
      </c>
      <c r="L473" s="13">
        <f t="shared" si="16"/>
        <v>1.7345219801657965</v>
      </c>
      <c r="M473" s="16">
        <f t="shared" si="17"/>
        <v>1549.608695652174</v>
      </c>
    </row>
    <row r="474" spans="1:13" x14ac:dyDescent="0.3">
      <c r="A474">
        <v>100472</v>
      </c>
      <c r="B474" t="s">
        <v>18</v>
      </c>
      <c r="C474" t="s">
        <v>20</v>
      </c>
      <c r="D474" t="s">
        <v>17</v>
      </c>
      <c r="E474" s="1">
        <v>45034</v>
      </c>
      <c r="F474" s="4">
        <v>65466</v>
      </c>
      <c r="G474" s="4">
        <v>555327</v>
      </c>
      <c r="H474" s="2">
        <v>1690</v>
      </c>
      <c r="I474" s="16">
        <v>21</v>
      </c>
      <c r="J474" s="1">
        <v>45055</v>
      </c>
      <c r="K474" s="3">
        <v>0.1179</v>
      </c>
      <c r="L474" s="13">
        <f t="shared" si="16"/>
        <v>3.0432519938702782</v>
      </c>
      <c r="M474" s="16">
        <f t="shared" si="17"/>
        <v>3117.4285714285716</v>
      </c>
    </row>
    <row r="475" spans="1:13" x14ac:dyDescent="0.3">
      <c r="A475">
        <v>100473</v>
      </c>
      <c r="B475" t="s">
        <v>18</v>
      </c>
      <c r="C475" t="s">
        <v>20</v>
      </c>
      <c r="D475" t="s">
        <v>24</v>
      </c>
      <c r="E475" s="1">
        <v>45035</v>
      </c>
      <c r="F475" s="4">
        <v>72702</v>
      </c>
      <c r="G475" s="4">
        <v>834114</v>
      </c>
      <c r="H475" s="2">
        <v>477</v>
      </c>
      <c r="I475" s="16">
        <v>23</v>
      </c>
      <c r="J475" s="1">
        <v>45058</v>
      </c>
      <c r="K475" s="3">
        <v>8.72E-2</v>
      </c>
      <c r="L475" s="13">
        <f t="shared" si="16"/>
        <v>0.57186427754479596</v>
      </c>
      <c r="M475" s="16">
        <f t="shared" si="17"/>
        <v>3160.9565217391305</v>
      </c>
    </row>
    <row r="476" spans="1:13" x14ac:dyDescent="0.3">
      <c r="A476">
        <v>100474</v>
      </c>
      <c r="B476" t="s">
        <v>18</v>
      </c>
      <c r="C476" t="s">
        <v>11</v>
      </c>
      <c r="D476" t="s">
        <v>24</v>
      </c>
      <c r="E476" s="1">
        <v>45036</v>
      </c>
      <c r="F476" s="4">
        <v>31319</v>
      </c>
      <c r="G476" s="4">
        <v>882159</v>
      </c>
      <c r="H476" s="2">
        <v>1905</v>
      </c>
      <c r="I476" s="16">
        <v>25</v>
      </c>
      <c r="J476" s="1">
        <v>45061</v>
      </c>
      <c r="K476" s="3">
        <v>3.5499999999999997E-2</v>
      </c>
      <c r="L476" s="13">
        <f t="shared" si="16"/>
        <v>2.1594746525286261</v>
      </c>
      <c r="M476" s="16">
        <f t="shared" si="17"/>
        <v>1252.76</v>
      </c>
    </row>
    <row r="477" spans="1:13" x14ac:dyDescent="0.3">
      <c r="A477">
        <v>100475</v>
      </c>
      <c r="B477" t="s">
        <v>18</v>
      </c>
      <c r="C477" t="s">
        <v>20</v>
      </c>
      <c r="D477" t="s">
        <v>12</v>
      </c>
      <c r="E477" s="1">
        <v>45037</v>
      </c>
      <c r="F477" s="4">
        <v>74003</v>
      </c>
      <c r="G477" s="4">
        <v>183314</v>
      </c>
      <c r="H477" s="2">
        <v>303</v>
      </c>
      <c r="I477" s="16">
        <v>3</v>
      </c>
      <c r="J477" s="1">
        <v>45040</v>
      </c>
      <c r="K477" s="3">
        <v>0.4037</v>
      </c>
      <c r="L477" s="13">
        <f t="shared" si="16"/>
        <v>1.652901578711937</v>
      </c>
      <c r="M477" s="16">
        <f t="shared" si="17"/>
        <v>24667.666666666668</v>
      </c>
    </row>
    <row r="478" spans="1:13" x14ac:dyDescent="0.3">
      <c r="A478">
        <v>100476</v>
      </c>
      <c r="B478" t="s">
        <v>13</v>
      </c>
      <c r="C478" t="s">
        <v>20</v>
      </c>
      <c r="D478" t="s">
        <v>22</v>
      </c>
      <c r="E478" s="1">
        <v>45038</v>
      </c>
      <c r="F478" s="4">
        <v>59217</v>
      </c>
      <c r="G478" s="4">
        <v>18199</v>
      </c>
      <c r="H478" s="2">
        <v>1289</v>
      </c>
      <c r="I478" s="16">
        <v>7</v>
      </c>
      <c r="J478" s="1">
        <v>45045</v>
      </c>
      <c r="K478" s="3">
        <v>3.2538999999999998</v>
      </c>
      <c r="L478" s="13">
        <f t="shared" si="16"/>
        <v>70.828067476234963</v>
      </c>
      <c r="M478" s="16">
        <f t="shared" si="17"/>
        <v>8459.5714285714294</v>
      </c>
    </row>
    <row r="479" spans="1:13" x14ac:dyDescent="0.3">
      <c r="A479">
        <v>100477</v>
      </c>
      <c r="B479" t="s">
        <v>13</v>
      </c>
      <c r="C479" t="s">
        <v>23</v>
      </c>
      <c r="D479" t="s">
        <v>17</v>
      </c>
      <c r="E479" s="1">
        <v>45039</v>
      </c>
      <c r="F479" s="4">
        <v>6010</v>
      </c>
      <c r="G479" s="4">
        <v>787016</v>
      </c>
      <c r="H479" s="2">
        <v>3785</v>
      </c>
      <c r="I479" s="16">
        <v>1</v>
      </c>
      <c r="J479" s="1">
        <v>45040</v>
      </c>
      <c r="K479" s="3">
        <v>7.6E-3</v>
      </c>
      <c r="L479" s="13">
        <f t="shared" si="16"/>
        <v>4.8093050204824301</v>
      </c>
      <c r="M479" s="16">
        <f t="shared" si="17"/>
        <v>6010</v>
      </c>
    </row>
    <row r="480" spans="1:13" x14ac:dyDescent="0.3">
      <c r="A480">
        <v>100478</v>
      </c>
      <c r="B480" t="s">
        <v>13</v>
      </c>
      <c r="C480" t="s">
        <v>20</v>
      </c>
      <c r="D480" t="s">
        <v>24</v>
      </c>
      <c r="E480" s="1">
        <v>45040</v>
      </c>
      <c r="F480" s="4">
        <v>88163</v>
      </c>
      <c r="G480" s="4">
        <v>330403</v>
      </c>
      <c r="H480" s="2">
        <v>3467</v>
      </c>
      <c r="I480" s="16">
        <v>17</v>
      </c>
      <c r="J480" s="1">
        <v>45057</v>
      </c>
      <c r="K480" s="3">
        <v>0.26679999999999998</v>
      </c>
      <c r="L480" s="13">
        <f t="shared" si="16"/>
        <v>10.493246126699818</v>
      </c>
      <c r="M480" s="16">
        <f t="shared" si="17"/>
        <v>5186.0588235294117</v>
      </c>
    </row>
    <row r="481" spans="1:13" x14ac:dyDescent="0.3">
      <c r="A481">
        <v>100479</v>
      </c>
      <c r="B481" t="s">
        <v>13</v>
      </c>
      <c r="C481" t="s">
        <v>16</v>
      </c>
      <c r="D481" t="s">
        <v>15</v>
      </c>
      <c r="E481" s="1">
        <v>45041</v>
      </c>
      <c r="F481" s="4">
        <v>65889</v>
      </c>
      <c r="G481" s="4">
        <v>908995</v>
      </c>
      <c r="H481" s="2">
        <v>4683</v>
      </c>
      <c r="I481" s="16">
        <v>21</v>
      </c>
      <c r="J481" s="1">
        <v>45062</v>
      </c>
      <c r="K481" s="3">
        <v>7.2499999999999995E-2</v>
      </c>
      <c r="L481" s="13">
        <f t="shared" si="16"/>
        <v>5.1518435194913064</v>
      </c>
      <c r="M481" s="16">
        <f t="shared" si="17"/>
        <v>3137.5714285714284</v>
      </c>
    </row>
    <row r="482" spans="1:13" x14ac:dyDescent="0.3">
      <c r="A482">
        <v>100480</v>
      </c>
      <c r="B482" t="s">
        <v>13</v>
      </c>
      <c r="C482" t="s">
        <v>25</v>
      </c>
      <c r="D482" t="s">
        <v>24</v>
      </c>
      <c r="E482" s="1">
        <v>45042</v>
      </c>
      <c r="F482" s="4">
        <v>97719</v>
      </c>
      <c r="G482" s="4">
        <v>115906</v>
      </c>
      <c r="H482" s="2">
        <v>2157</v>
      </c>
      <c r="I482" s="16">
        <v>22</v>
      </c>
      <c r="J482" s="1">
        <v>45064</v>
      </c>
      <c r="K482" s="3">
        <v>0.84309999999999996</v>
      </c>
      <c r="L482" s="13">
        <f t="shared" si="16"/>
        <v>18.609908028919985</v>
      </c>
      <c r="M482" s="16">
        <f t="shared" si="17"/>
        <v>4441.772727272727</v>
      </c>
    </row>
    <row r="483" spans="1:13" x14ac:dyDescent="0.3">
      <c r="A483">
        <v>100481</v>
      </c>
      <c r="B483" t="s">
        <v>18</v>
      </c>
      <c r="C483" t="s">
        <v>16</v>
      </c>
      <c r="D483" t="s">
        <v>24</v>
      </c>
      <c r="E483" s="1">
        <v>45043</v>
      </c>
      <c r="F483" s="4">
        <v>23486</v>
      </c>
      <c r="G483" s="4">
        <v>66452</v>
      </c>
      <c r="H483" s="2">
        <v>615</v>
      </c>
      <c r="I483" s="16">
        <v>2</v>
      </c>
      <c r="J483" s="1">
        <v>45045</v>
      </c>
      <c r="K483" s="3">
        <v>0.35339999999999999</v>
      </c>
      <c r="L483" s="13">
        <f t="shared" si="16"/>
        <v>9.2548004574730633</v>
      </c>
      <c r="M483" s="16">
        <f t="shared" si="17"/>
        <v>11743</v>
      </c>
    </row>
    <row r="484" spans="1:13" x14ac:dyDescent="0.3">
      <c r="A484">
        <v>100482</v>
      </c>
      <c r="B484" t="s">
        <v>13</v>
      </c>
      <c r="C484" t="s">
        <v>20</v>
      </c>
      <c r="D484" t="s">
        <v>22</v>
      </c>
      <c r="E484" s="1">
        <v>45044</v>
      </c>
      <c r="F484" s="4">
        <v>72119</v>
      </c>
      <c r="G484" s="4">
        <v>557946</v>
      </c>
      <c r="H484" s="2">
        <v>1468</v>
      </c>
      <c r="I484" s="16">
        <v>24</v>
      </c>
      <c r="J484" s="1">
        <v>45068</v>
      </c>
      <c r="K484" s="3">
        <v>0.1293</v>
      </c>
      <c r="L484" s="13">
        <f t="shared" si="16"/>
        <v>2.6310789933075962</v>
      </c>
      <c r="M484" s="16">
        <f t="shared" si="17"/>
        <v>3004.9583333333335</v>
      </c>
    </row>
    <row r="485" spans="1:13" x14ac:dyDescent="0.3">
      <c r="A485">
        <v>100483</v>
      </c>
      <c r="B485" t="s">
        <v>18</v>
      </c>
      <c r="C485" t="s">
        <v>16</v>
      </c>
      <c r="D485" t="s">
        <v>17</v>
      </c>
      <c r="E485" s="1">
        <v>45045</v>
      </c>
      <c r="F485" s="4">
        <v>28514</v>
      </c>
      <c r="G485" s="4">
        <v>567076</v>
      </c>
      <c r="H485" s="2">
        <v>3864</v>
      </c>
      <c r="I485" s="16">
        <v>3</v>
      </c>
      <c r="J485" s="1">
        <v>45048</v>
      </c>
      <c r="K485" s="3">
        <v>5.0299999999999997E-2</v>
      </c>
      <c r="L485" s="13">
        <f t="shared" si="16"/>
        <v>6.8139014876312878</v>
      </c>
      <c r="M485" s="16">
        <f t="shared" si="17"/>
        <v>9504.6666666666661</v>
      </c>
    </row>
    <row r="486" spans="1:13" x14ac:dyDescent="0.3">
      <c r="A486">
        <v>100484</v>
      </c>
      <c r="B486" t="s">
        <v>18</v>
      </c>
      <c r="C486" t="s">
        <v>20</v>
      </c>
      <c r="D486" t="s">
        <v>12</v>
      </c>
      <c r="E486" s="1">
        <v>45046</v>
      </c>
      <c r="F486" s="4">
        <v>69886</v>
      </c>
      <c r="G486" s="4">
        <v>766629</v>
      </c>
      <c r="H486" s="2">
        <v>165</v>
      </c>
      <c r="I486" s="16">
        <v>25</v>
      </c>
      <c r="J486" s="1">
        <v>45071</v>
      </c>
      <c r="K486" s="3">
        <v>9.1200000000000003E-2</v>
      </c>
      <c r="L486" s="13">
        <f t="shared" si="16"/>
        <v>0.21522796554787257</v>
      </c>
      <c r="M486" s="16">
        <f t="shared" si="17"/>
        <v>2795.44</v>
      </c>
    </row>
    <row r="487" spans="1:13" x14ac:dyDescent="0.3">
      <c r="A487">
        <v>100485</v>
      </c>
      <c r="B487" t="s">
        <v>13</v>
      </c>
      <c r="C487" t="s">
        <v>14</v>
      </c>
      <c r="D487" t="s">
        <v>24</v>
      </c>
      <c r="E487" s="1">
        <v>45047</v>
      </c>
      <c r="F487" s="4">
        <v>19250</v>
      </c>
      <c r="G487" s="4">
        <v>592816</v>
      </c>
      <c r="H487" s="2">
        <v>3396</v>
      </c>
      <c r="I487" s="16">
        <v>24</v>
      </c>
      <c r="J487" s="1">
        <v>45071</v>
      </c>
      <c r="K487" s="3">
        <v>3.2500000000000001E-2</v>
      </c>
      <c r="L487" s="13">
        <f t="shared" si="16"/>
        <v>5.7285903214488139</v>
      </c>
      <c r="M487" s="16">
        <f t="shared" si="17"/>
        <v>802.08333333333337</v>
      </c>
    </row>
    <row r="488" spans="1:13" x14ac:dyDescent="0.3">
      <c r="A488">
        <v>100486</v>
      </c>
      <c r="B488" t="s">
        <v>13</v>
      </c>
      <c r="C488" t="s">
        <v>23</v>
      </c>
      <c r="D488" t="s">
        <v>12</v>
      </c>
      <c r="E488" s="1">
        <v>45048</v>
      </c>
      <c r="F488" s="4">
        <v>64816</v>
      </c>
      <c r="G488" s="4">
        <v>825902</v>
      </c>
      <c r="H488" s="2">
        <v>868</v>
      </c>
      <c r="I488" s="16">
        <v>12</v>
      </c>
      <c r="J488" s="1">
        <v>45060</v>
      </c>
      <c r="K488" s="3">
        <v>7.85E-2</v>
      </c>
      <c r="L488" s="13">
        <f t="shared" si="16"/>
        <v>1.0509721492380451</v>
      </c>
      <c r="M488" s="16">
        <f t="shared" si="17"/>
        <v>5401.333333333333</v>
      </c>
    </row>
    <row r="489" spans="1:13" x14ac:dyDescent="0.3">
      <c r="A489">
        <v>100487</v>
      </c>
      <c r="B489" t="s">
        <v>18</v>
      </c>
      <c r="C489" t="s">
        <v>23</v>
      </c>
      <c r="D489" t="s">
        <v>24</v>
      </c>
      <c r="E489" s="1">
        <v>45049</v>
      </c>
      <c r="F489" s="4">
        <v>37477</v>
      </c>
      <c r="G489" s="4">
        <v>143470</v>
      </c>
      <c r="H489" s="2">
        <v>1102</v>
      </c>
      <c r="I489" s="16">
        <v>13</v>
      </c>
      <c r="J489" s="1">
        <v>45062</v>
      </c>
      <c r="K489" s="3">
        <v>0.26119999999999999</v>
      </c>
      <c r="L489" s="13">
        <f t="shared" si="16"/>
        <v>7.6810483027810692</v>
      </c>
      <c r="M489" s="16">
        <f t="shared" si="17"/>
        <v>2882.8461538461538</v>
      </c>
    </row>
    <row r="490" spans="1:13" x14ac:dyDescent="0.3">
      <c r="A490">
        <v>100488</v>
      </c>
      <c r="B490" t="s">
        <v>13</v>
      </c>
      <c r="C490" t="s">
        <v>14</v>
      </c>
      <c r="D490" t="s">
        <v>12</v>
      </c>
      <c r="E490" s="1">
        <v>45050</v>
      </c>
      <c r="F490" s="4">
        <v>85602</v>
      </c>
      <c r="G490" s="4">
        <v>357426</v>
      </c>
      <c r="H490" s="2">
        <v>4309</v>
      </c>
      <c r="I490" s="16">
        <v>15</v>
      </c>
      <c r="J490" s="1">
        <v>45065</v>
      </c>
      <c r="K490" s="3">
        <v>0.23949999999999999</v>
      </c>
      <c r="L490" s="13">
        <f t="shared" si="16"/>
        <v>12.055642286795029</v>
      </c>
      <c r="M490" s="16">
        <f t="shared" si="17"/>
        <v>5706.8</v>
      </c>
    </row>
    <row r="491" spans="1:13" x14ac:dyDescent="0.3">
      <c r="A491">
        <v>100489</v>
      </c>
      <c r="B491" t="s">
        <v>13</v>
      </c>
      <c r="C491" t="s">
        <v>20</v>
      </c>
      <c r="D491" t="s">
        <v>17</v>
      </c>
      <c r="E491" s="1">
        <v>45051</v>
      </c>
      <c r="F491" s="4">
        <v>21869</v>
      </c>
      <c r="G491" s="4">
        <v>358232</v>
      </c>
      <c r="H491" s="2">
        <v>1229</v>
      </c>
      <c r="I491" s="16">
        <v>4</v>
      </c>
      <c r="J491" s="1">
        <v>45055</v>
      </c>
      <c r="K491" s="3">
        <v>6.0999999999999999E-2</v>
      </c>
      <c r="L491" s="13">
        <f t="shared" si="16"/>
        <v>3.4307376225462827</v>
      </c>
      <c r="M491" s="16">
        <f t="shared" si="17"/>
        <v>5467.25</v>
      </c>
    </row>
    <row r="492" spans="1:13" x14ac:dyDescent="0.3">
      <c r="A492">
        <v>100490</v>
      </c>
      <c r="B492" t="s">
        <v>10</v>
      </c>
      <c r="C492" t="s">
        <v>21</v>
      </c>
      <c r="D492" t="s">
        <v>17</v>
      </c>
      <c r="E492" s="1">
        <v>45052</v>
      </c>
      <c r="F492" s="4">
        <v>43948</v>
      </c>
      <c r="G492" s="4">
        <v>373655</v>
      </c>
      <c r="H492" s="2">
        <v>1599</v>
      </c>
      <c r="I492" s="16">
        <v>6</v>
      </c>
      <c r="J492" s="1">
        <v>45058</v>
      </c>
      <c r="K492" s="3">
        <v>0.1176</v>
      </c>
      <c r="L492" s="13">
        <f t="shared" si="16"/>
        <v>4.2793485969677905</v>
      </c>
      <c r="M492" s="16">
        <f t="shared" si="17"/>
        <v>7324.666666666667</v>
      </c>
    </row>
    <row r="493" spans="1:13" x14ac:dyDescent="0.3">
      <c r="A493">
        <v>100491</v>
      </c>
      <c r="B493" t="s">
        <v>13</v>
      </c>
      <c r="C493" t="s">
        <v>14</v>
      </c>
      <c r="D493" t="s">
        <v>12</v>
      </c>
      <c r="E493" s="1">
        <v>45053</v>
      </c>
      <c r="F493" s="4">
        <v>55893</v>
      </c>
      <c r="G493" s="4">
        <v>476639</v>
      </c>
      <c r="H493" s="2">
        <v>2554</v>
      </c>
      <c r="I493" s="16">
        <v>12</v>
      </c>
      <c r="J493" s="1">
        <v>45065</v>
      </c>
      <c r="K493" s="3">
        <v>0.1173</v>
      </c>
      <c r="L493" s="13">
        <f t="shared" si="16"/>
        <v>5.3583529673400623</v>
      </c>
      <c r="M493" s="16">
        <f t="shared" si="17"/>
        <v>4657.75</v>
      </c>
    </row>
    <row r="494" spans="1:13" x14ac:dyDescent="0.3">
      <c r="A494">
        <v>100492</v>
      </c>
      <c r="B494" t="s">
        <v>13</v>
      </c>
      <c r="C494" t="s">
        <v>25</v>
      </c>
      <c r="D494" t="s">
        <v>12</v>
      </c>
      <c r="E494" s="1">
        <v>45054</v>
      </c>
      <c r="F494" s="4">
        <v>39732</v>
      </c>
      <c r="G494" s="4">
        <v>316819</v>
      </c>
      <c r="H494" s="2">
        <v>1249</v>
      </c>
      <c r="I494" s="16">
        <v>6</v>
      </c>
      <c r="J494" s="1">
        <v>45060</v>
      </c>
      <c r="K494" s="3">
        <v>0.12540000000000001</v>
      </c>
      <c r="L494" s="13">
        <f t="shared" si="16"/>
        <v>3.9423140657599451</v>
      </c>
      <c r="M494" s="16">
        <f t="shared" si="17"/>
        <v>6622</v>
      </c>
    </row>
    <row r="495" spans="1:13" x14ac:dyDescent="0.3">
      <c r="A495">
        <v>100493</v>
      </c>
      <c r="B495" t="s">
        <v>18</v>
      </c>
      <c r="C495" t="s">
        <v>21</v>
      </c>
      <c r="D495" t="s">
        <v>12</v>
      </c>
      <c r="E495" s="1">
        <v>45055</v>
      </c>
      <c r="F495" s="4">
        <v>9506</v>
      </c>
      <c r="G495" s="4">
        <v>354489</v>
      </c>
      <c r="H495" s="2">
        <v>1765</v>
      </c>
      <c r="I495" s="16">
        <v>27</v>
      </c>
      <c r="J495" s="1">
        <v>45082</v>
      </c>
      <c r="K495" s="3">
        <v>2.6800000000000001E-2</v>
      </c>
      <c r="L495" s="13">
        <f t="shared" si="16"/>
        <v>4.978997937876775</v>
      </c>
      <c r="M495" s="16">
        <f t="shared" si="17"/>
        <v>352.07407407407408</v>
      </c>
    </row>
    <row r="496" spans="1:13" x14ac:dyDescent="0.3">
      <c r="A496">
        <v>100494</v>
      </c>
      <c r="B496" t="s">
        <v>10</v>
      </c>
      <c r="C496" t="s">
        <v>25</v>
      </c>
      <c r="D496" t="s">
        <v>15</v>
      </c>
      <c r="E496" s="1">
        <v>45056</v>
      </c>
      <c r="F496" s="4">
        <v>67688</v>
      </c>
      <c r="G496" s="4">
        <v>560976</v>
      </c>
      <c r="H496" s="2">
        <v>740</v>
      </c>
      <c r="I496" s="16">
        <v>23</v>
      </c>
      <c r="J496" s="1">
        <v>45079</v>
      </c>
      <c r="K496" s="3">
        <v>0.1207</v>
      </c>
      <c r="L496" s="13">
        <f t="shared" si="16"/>
        <v>1.3191295171272923</v>
      </c>
      <c r="M496" s="16">
        <f t="shared" si="17"/>
        <v>2942.9565217391305</v>
      </c>
    </row>
    <row r="497" spans="1:13" x14ac:dyDescent="0.3">
      <c r="A497">
        <v>100495</v>
      </c>
      <c r="B497" t="s">
        <v>13</v>
      </c>
      <c r="C497" t="s">
        <v>25</v>
      </c>
      <c r="D497" t="s">
        <v>15</v>
      </c>
      <c r="E497" s="1">
        <v>45057</v>
      </c>
      <c r="F497" s="4">
        <v>92093</v>
      </c>
      <c r="G497" s="4">
        <v>654043</v>
      </c>
      <c r="H497" s="2">
        <v>1689</v>
      </c>
      <c r="I497" s="16">
        <v>29</v>
      </c>
      <c r="J497" s="1">
        <v>45086</v>
      </c>
      <c r="K497" s="3">
        <v>0.14080000000000001</v>
      </c>
      <c r="L497" s="13">
        <f t="shared" si="16"/>
        <v>2.5823990165784205</v>
      </c>
      <c r="M497" s="16">
        <f t="shared" si="17"/>
        <v>3175.6206896551726</v>
      </c>
    </row>
    <row r="498" spans="1:13" x14ac:dyDescent="0.3">
      <c r="A498">
        <v>100496</v>
      </c>
      <c r="B498" t="s">
        <v>13</v>
      </c>
      <c r="C498" t="s">
        <v>14</v>
      </c>
      <c r="D498" t="s">
        <v>15</v>
      </c>
      <c r="E498" s="1">
        <v>45058</v>
      </c>
      <c r="F498" s="4">
        <v>2046</v>
      </c>
      <c r="G498" s="4">
        <v>239661</v>
      </c>
      <c r="H498" s="2">
        <v>566</v>
      </c>
      <c r="I498" s="16">
        <v>17</v>
      </c>
      <c r="J498" s="1">
        <v>45075</v>
      </c>
      <c r="K498" s="3">
        <v>8.5000000000000006E-3</v>
      </c>
      <c r="L498" s="13">
        <f t="shared" si="16"/>
        <v>2.3616691910657139</v>
      </c>
      <c r="M498" s="16">
        <f t="shared" si="17"/>
        <v>120.35294117647059</v>
      </c>
    </row>
    <row r="499" spans="1:13" x14ac:dyDescent="0.3">
      <c r="A499">
        <v>100497</v>
      </c>
      <c r="B499" t="s">
        <v>13</v>
      </c>
      <c r="C499" t="s">
        <v>25</v>
      </c>
      <c r="D499" t="s">
        <v>12</v>
      </c>
      <c r="E499" s="1">
        <v>45059</v>
      </c>
      <c r="F499" s="4">
        <v>86161</v>
      </c>
      <c r="G499" s="4">
        <v>416435</v>
      </c>
      <c r="H499" s="2">
        <v>2610</v>
      </c>
      <c r="I499" s="16">
        <v>22</v>
      </c>
      <c r="J499" s="1">
        <v>45081</v>
      </c>
      <c r="K499" s="3">
        <v>0.2069</v>
      </c>
      <c r="L499" s="13">
        <f t="shared" si="16"/>
        <v>6.2674847215051575</v>
      </c>
      <c r="M499" s="16">
        <f t="shared" si="17"/>
        <v>3916.409090909091</v>
      </c>
    </row>
    <row r="500" spans="1:13" x14ac:dyDescent="0.3">
      <c r="A500">
        <v>100498</v>
      </c>
      <c r="B500" t="s">
        <v>18</v>
      </c>
      <c r="C500" t="s">
        <v>21</v>
      </c>
      <c r="D500" t="s">
        <v>17</v>
      </c>
      <c r="E500" s="1">
        <v>45060</v>
      </c>
      <c r="F500" s="4">
        <v>41336</v>
      </c>
      <c r="G500" s="4">
        <v>406980</v>
      </c>
      <c r="H500" s="2">
        <v>3057</v>
      </c>
      <c r="I500" s="16">
        <v>17</v>
      </c>
      <c r="J500" s="1">
        <v>45077</v>
      </c>
      <c r="K500" s="3">
        <v>0.1016</v>
      </c>
      <c r="L500" s="13">
        <f t="shared" si="16"/>
        <v>7.511425622880731</v>
      </c>
      <c r="M500" s="16">
        <f t="shared" si="17"/>
        <v>2431.5294117647059</v>
      </c>
    </row>
    <row r="501" spans="1:13" x14ac:dyDescent="0.3">
      <c r="A501">
        <v>100499</v>
      </c>
      <c r="B501" t="s">
        <v>13</v>
      </c>
      <c r="C501" t="s">
        <v>25</v>
      </c>
      <c r="D501" t="s">
        <v>22</v>
      </c>
      <c r="E501" s="1">
        <v>45061</v>
      </c>
      <c r="F501" s="4">
        <v>61984</v>
      </c>
      <c r="G501" s="4">
        <v>707066</v>
      </c>
      <c r="H501" s="2">
        <v>4122</v>
      </c>
      <c r="I501" s="16">
        <v>13</v>
      </c>
      <c r="J501" s="1">
        <v>45074</v>
      </c>
      <c r="K501" s="3">
        <v>8.77E-2</v>
      </c>
      <c r="L501" s="13">
        <f t="shared" si="16"/>
        <v>5.8297245235946855</v>
      </c>
      <c r="M501" s="16">
        <f t="shared" si="17"/>
        <v>4768</v>
      </c>
    </row>
    <row r="502" spans="1:13" x14ac:dyDescent="0.3">
      <c r="A502">
        <v>100500</v>
      </c>
      <c r="B502" t="s">
        <v>10</v>
      </c>
      <c r="C502" t="s">
        <v>25</v>
      </c>
      <c r="D502" t="s">
        <v>24</v>
      </c>
      <c r="E502" s="1">
        <v>45062</v>
      </c>
      <c r="F502" s="4">
        <v>66095</v>
      </c>
      <c r="G502" s="4">
        <v>300877</v>
      </c>
      <c r="H502" s="2">
        <v>4807</v>
      </c>
      <c r="I502" s="16">
        <v>22</v>
      </c>
      <c r="J502" s="1">
        <v>45084</v>
      </c>
      <c r="K502" s="3">
        <v>0.21970000000000001</v>
      </c>
      <c r="L502" s="13">
        <f t="shared" si="16"/>
        <v>15.97662832320184</v>
      </c>
      <c r="M502" s="16">
        <f t="shared" si="17"/>
        <v>3004.318181818182</v>
      </c>
    </row>
    <row r="503" spans="1:13" x14ac:dyDescent="0.3">
      <c r="A503">
        <v>100501</v>
      </c>
      <c r="B503" t="s">
        <v>10</v>
      </c>
      <c r="C503" t="s">
        <v>14</v>
      </c>
      <c r="D503" t="s">
        <v>24</v>
      </c>
      <c r="E503" s="1">
        <v>45063</v>
      </c>
      <c r="F503" s="4">
        <v>26954</v>
      </c>
      <c r="G503" s="4">
        <v>231385</v>
      </c>
      <c r="H503" s="2">
        <v>189</v>
      </c>
      <c r="I503" s="16">
        <v>24</v>
      </c>
      <c r="J503" s="1">
        <v>45087</v>
      </c>
      <c r="K503" s="3">
        <v>0.11650000000000001</v>
      </c>
      <c r="L503" s="13">
        <f t="shared" si="16"/>
        <v>0.81682045076387833</v>
      </c>
      <c r="M503" s="16">
        <f t="shared" si="17"/>
        <v>1123.0833333333333</v>
      </c>
    </row>
    <row r="504" spans="1:13" x14ac:dyDescent="0.3">
      <c r="A504">
        <v>100502</v>
      </c>
      <c r="B504" t="s">
        <v>19</v>
      </c>
      <c r="C504" t="s">
        <v>11</v>
      </c>
      <c r="D504" t="s">
        <v>17</v>
      </c>
      <c r="E504" s="1">
        <v>45064</v>
      </c>
      <c r="F504" s="4">
        <v>40478</v>
      </c>
      <c r="G504" s="4">
        <v>582512</v>
      </c>
      <c r="H504" s="2">
        <v>4737</v>
      </c>
      <c r="I504" s="16">
        <v>28</v>
      </c>
      <c r="J504" s="1">
        <v>45092</v>
      </c>
      <c r="K504" s="3">
        <v>6.9500000000000006E-2</v>
      </c>
      <c r="L504" s="13">
        <f t="shared" si="16"/>
        <v>8.1320213145823601</v>
      </c>
      <c r="M504" s="16">
        <f t="shared" si="17"/>
        <v>1445.6428571428571</v>
      </c>
    </row>
    <row r="505" spans="1:13" x14ac:dyDescent="0.3">
      <c r="A505">
        <v>100503</v>
      </c>
      <c r="B505" t="s">
        <v>13</v>
      </c>
      <c r="C505" t="s">
        <v>21</v>
      </c>
      <c r="D505" t="s">
        <v>17</v>
      </c>
      <c r="E505" s="1">
        <v>45065</v>
      </c>
      <c r="F505" s="4">
        <v>72757</v>
      </c>
      <c r="G505" s="4">
        <v>366225</v>
      </c>
      <c r="H505" s="2">
        <v>1885</v>
      </c>
      <c r="I505" s="16">
        <v>17</v>
      </c>
      <c r="J505" s="1">
        <v>45082</v>
      </c>
      <c r="K505" s="3">
        <v>0.19869999999999999</v>
      </c>
      <c r="L505" s="13">
        <f t="shared" si="16"/>
        <v>5.1471090176803882</v>
      </c>
      <c r="M505" s="16">
        <f t="shared" si="17"/>
        <v>4279.8235294117649</v>
      </c>
    </row>
    <row r="506" spans="1:13" x14ac:dyDescent="0.3">
      <c r="A506">
        <v>100504</v>
      </c>
      <c r="B506" t="s">
        <v>13</v>
      </c>
      <c r="C506" t="s">
        <v>20</v>
      </c>
      <c r="D506" t="s">
        <v>24</v>
      </c>
      <c r="E506" s="1">
        <v>45066</v>
      </c>
      <c r="F506" s="4">
        <v>29999</v>
      </c>
      <c r="G506" s="4">
        <v>919989</v>
      </c>
      <c r="H506" s="2">
        <v>1848</v>
      </c>
      <c r="I506" s="16">
        <v>2</v>
      </c>
      <c r="J506" s="1">
        <v>45068</v>
      </c>
      <c r="K506" s="3">
        <v>3.2599999999999997E-2</v>
      </c>
      <c r="L506" s="13">
        <f t="shared" si="16"/>
        <v>2.008719669474309</v>
      </c>
      <c r="M506" s="16">
        <f t="shared" si="17"/>
        <v>14999.5</v>
      </c>
    </row>
    <row r="507" spans="1:13" x14ac:dyDescent="0.3">
      <c r="A507">
        <v>100505</v>
      </c>
      <c r="B507" t="s">
        <v>10</v>
      </c>
      <c r="C507" t="s">
        <v>25</v>
      </c>
      <c r="D507" t="s">
        <v>15</v>
      </c>
      <c r="E507" s="1">
        <v>45067</v>
      </c>
      <c r="F507" s="4">
        <v>2812</v>
      </c>
      <c r="G507" s="4">
        <v>505483</v>
      </c>
      <c r="H507" s="2">
        <v>2939</v>
      </c>
      <c r="I507" s="16">
        <v>2</v>
      </c>
      <c r="J507" s="1">
        <v>45069</v>
      </c>
      <c r="K507" s="3">
        <v>5.5999999999999999E-3</v>
      </c>
      <c r="L507" s="13">
        <f t="shared" si="16"/>
        <v>5.8142410328339436</v>
      </c>
      <c r="M507" s="16">
        <f t="shared" si="17"/>
        <v>1406</v>
      </c>
    </row>
    <row r="508" spans="1:13" x14ac:dyDescent="0.3">
      <c r="A508">
        <v>100506</v>
      </c>
      <c r="B508" t="s">
        <v>18</v>
      </c>
      <c r="C508" t="s">
        <v>21</v>
      </c>
      <c r="D508" t="s">
        <v>12</v>
      </c>
      <c r="E508" s="1">
        <v>45068</v>
      </c>
      <c r="F508" s="4">
        <v>47498</v>
      </c>
      <c r="G508" s="4">
        <v>478186</v>
      </c>
      <c r="H508" s="2">
        <v>967</v>
      </c>
      <c r="I508" s="16">
        <v>12</v>
      </c>
      <c r="J508" s="1">
        <v>45080</v>
      </c>
      <c r="K508" s="3">
        <v>9.9299999999999999E-2</v>
      </c>
      <c r="L508" s="13">
        <f t="shared" si="16"/>
        <v>2.0222256611444083</v>
      </c>
      <c r="M508" s="16">
        <f t="shared" si="17"/>
        <v>3958.1666666666665</v>
      </c>
    </row>
    <row r="509" spans="1:13" x14ac:dyDescent="0.3">
      <c r="A509">
        <v>100507</v>
      </c>
      <c r="B509" t="s">
        <v>10</v>
      </c>
      <c r="C509" t="s">
        <v>14</v>
      </c>
      <c r="D509" t="s">
        <v>22</v>
      </c>
      <c r="E509" s="1">
        <v>45069</v>
      </c>
      <c r="F509" s="4">
        <v>73873</v>
      </c>
      <c r="G509" s="4">
        <v>153632</v>
      </c>
      <c r="H509" s="2">
        <v>663</v>
      </c>
      <c r="I509" s="16">
        <v>15</v>
      </c>
      <c r="J509" s="1">
        <v>45084</v>
      </c>
      <c r="K509" s="3">
        <v>0.48080000000000001</v>
      </c>
      <c r="L509" s="13">
        <f t="shared" si="16"/>
        <v>4.3155071860029155</v>
      </c>
      <c r="M509" s="16">
        <f t="shared" si="17"/>
        <v>4924.8666666666668</v>
      </c>
    </row>
    <row r="510" spans="1:13" x14ac:dyDescent="0.3">
      <c r="A510">
        <v>100508</v>
      </c>
      <c r="B510" t="s">
        <v>13</v>
      </c>
      <c r="C510" t="s">
        <v>25</v>
      </c>
      <c r="D510" t="s">
        <v>24</v>
      </c>
      <c r="E510" s="1">
        <v>45070</v>
      </c>
      <c r="F510" s="4">
        <v>61373</v>
      </c>
      <c r="G510" s="4">
        <v>46505</v>
      </c>
      <c r="H510" s="2">
        <v>2594</v>
      </c>
      <c r="I510" s="16">
        <v>2</v>
      </c>
      <c r="J510" s="1">
        <v>45072</v>
      </c>
      <c r="K510" s="3">
        <v>1.3197000000000001</v>
      </c>
      <c r="L510" s="13">
        <f t="shared" si="16"/>
        <v>55.778948500161277</v>
      </c>
      <c r="M510" s="16">
        <f t="shared" si="17"/>
        <v>30686.5</v>
      </c>
    </row>
    <row r="511" spans="1:13" x14ac:dyDescent="0.3">
      <c r="A511">
        <v>100509</v>
      </c>
      <c r="B511" t="s">
        <v>18</v>
      </c>
      <c r="C511" t="s">
        <v>11</v>
      </c>
      <c r="D511" t="s">
        <v>15</v>
      </c>
      <c r="E511" s="1">
        <v>45071</v>
      </c>
      <c r="F511" s="4">
        <v>9659</v>
      </c>
      <c r="G511" s="4">
        <v>907108</v>
      </c>
      <c r="H511" s="2">
        <v>2775</v>
      </c>
      <c r="I511" s="16">
        <v>9</v>
      </c>
      <c r="J511" s="1">
        <v>45080</v>
      </c>
      <c r="K511" s="3">
        <v>1.06E-2</v>
      </c>
      <c r="L511" s="13">
        <f t="shared" si="16"/>
        <v>3.0591726674221813</v>
      </c>
      <c r="M511" s="16">
        <f t="shared" si="17"/>
        <v>1073.2222222222222</v>
      </c>
    </row>
    <row r="512" spans="1:13" x14ac:dyDescent="0.3">
      <c r="A512">
        <v>100510</v>
      </c>
      <c r="B512" t="s">
        <v>18</v>
      </c>
      <c r="C512" t="s">
        <v>21</v>
      </c>
      <c r="D512" t="s">
        <v>15</v>
      </c>
      <c r="E512" s="1">
        <v>45072</v>
      </c>
      <c r="F512" s="4">
        <v>90220</v>
      </c>
      <c r="G512" s="4">
        <v>961362</v>
      </c>
      <c r="H512" s="2">
        <v>1148</v>
      </c>
      <c r="I512" s="16">
        <v>3</v>
      </c>
      <c r="J512" s="1">
        <v>45075</v>
      </c>
      <c r="K512" s="3">
        <v>9.3799999999999994E-2</v>
      </c>
      <c r="L512" s="13">
        <f t="shared" si="16"/>
        <v>1.1941391484165174</v>
      </c>
      <c r="M512" s="16">
        <f t="shared" si="17"/>
        <v>30073.333333333332</v>
      </c>
    </row>
    <row r="513" spans="1:13" x14ac:dyDescent="0.3">
      <c r="A513">
        <v>100511</v>
      </c>
      <c r="B513" t="s">
        <v>10</v>
      </c>
      <c r="C513" t="s">
        <v>11</v>
      </c>
      <c r="D513" t="s">
        <v>17</v>
      </c>
      <c r="E513" s="1">
        <v>45073</v>
      </c>
      <c r="F513" s="4">
        <v>22282</v>
      </c>
      <c r="G513" s="4">
        <v>771847</v>
      </c>
      <c r="H513" s="2">
        <v>1183</v>
      </c>
      <c r="I513" s="16">
        <v>5</v>
      </c>
      <c r="J513" s="1">
        <v>45078</v>
      </c>
      <c r="K513" s="3">
        <v>2.8899999999999999E-2</v>
      </c>
      <c r="L513" s="13">
        <f t="shared" si="16"/>
        <v>1.5326871776401281</v>
      </c>
      <c r="M513" s="16">
        <f t="shared" si="17"/>
        <v>4456.3999999999996</v>
      </c>
    </row>
    <row r="514" spans="1:13" x14ac:dyDescent="0.3">
      <c r="A514">
        <v>100512</v>
      </c>
      <c r="B514" t="s">
        <v>18</v>
      </c>
      <c r="C514" t="s">
        <v>21</v>
      </c>
      <c r="D514" t="s">
        <v>17</v>
      </c>
      <c r="E514" s="1">
        <v>45074</v>
      </c>
      <c r="F514" s="4">
        <v>52425</v>
      </c>
      <c r="G514" s="4">
        <v>121915</v>
      </c>
      <c r="H514" s="2">
        <v>4983</v>
      </c>
      <c r="I514" s="16">
        <v>13</v>
      </c>
      <c r="J514" s="1">
        <v>45087</v>
      </c>
      <c r="K514" s="3">
        <v>0.43</v>
      </c>
      <c r="L514" s="13">
        <f t="shared" ref="L514:L577" si="18">H514/G514*1000</f>
        <v>40.872739203543453</v>
      </c>
      <c r="M514" s="16">
        <f t="shared" ref="M514:M577" si="19">IFERROR(F514/I514,"No Data")</f>
        <v>4032.6923076923076</v>
      </c>
    </row>
    <row r="515" spans="1:13" x14ac:dyDescent="0.3">
      <c r="A515">
        <v>100513</v>
      </c>
      <c r="B515" t="s">
        <v>18</v>
      </c>
      <c r="C515" t="s">
        <v>23</v>
      </c>
      <c r="D515" t="s">
        <v>15</v>
      </c>
      <c r="E515" s="1">
        <v>45075</v>
      </c>
      <c r="F515" s="4">
        <v>43081</v>
      </c>
      <c r="G515" s="4">
        <v>631580</v>
      </c>
      <c r="H515" s="2">
        <v>126</v>
      </c>
      <c r="I515" s="16">
        <v>23</v>
      </c>
      <c r="J515" s="1">
        <v>45098</v>
      </c>
      <c r="K515" s="3">
        <v>6.8199999999999997E-2</v>
      </c>
      <c r="L515" s="13">
        <f t="shared" si="18"/>
        <v>0.19949966750055417</v>
      </c>
      <c r="M515" s="16">
        <f t="shared" si="19"/>
        <v>1873.0869565217392</v>
      </c>
    </row>
    <row r="516" spans="1:13" x14ac:dyDescent="0.3">
      <c r="A516">
        <v>100514</v>
      </c>
      <c r="B516" t="s">
        <v>18</v>
      </c>
      <c r="C516" t="s">
        <v>14</v>
      </c>
      <c r="D516" t="s">
        <v>22</v>
      </c>
      <c r="E516" s="1">
        <v>45076</v>
      </c>
      <c r="F516" s="4">
        <v>72055</v>
      </c>
      <c r="G516" s="4">
        <v>962276</v>
      </c>
      <c r="H516" s="2">
        <v>1518</v>
      </c>
      <c r="I516" s="16">
        <v>11</v>
      </c>
      <c r="J516" s="1">
        <v>45087</v>
      </c>
      <c r="K516" s="3">
        <v>7.4899999999999994E-2</v>
      </c>
      <c r="L516" s="13">
        <f t="shared" si="18"/>
        <v>1.5775099867397713</v>
      </c>
      <c r="M516" s="16">
        <f t="shared" si="19"/>
        <v>6550.454545454545</v>
      </c>
    </row>
    <row r="517" spans="1:13" x14ac:dyDescent="0.3">
      <c r="A517">
        <v>100515</v>
      </c>
      <c r="B517" t="s">
        <v>18</v>
      </c>
      <c r="C517" t="s">
        <v>14</v>
      </c>
      <c r="D517" t="s">
        <v>24</v>
      </c>
      <c r="E517" s="1">
        <v>45077</v>
      </c>
      <c r="F517" s="4">
        <v>61536</v>
      </c>
      <c r="G517" s="4">
        <v>949146</v>
      </c>
      <c r="H517" s="2">
        <v>975</v>
      </c>
      <c r="I517" s="16">
        <v>15</v>
      </c>
      <c r="J517" s="1">
        <v>45092</v>
      </c>
      <c r="K517" s="3">
        <v>6.4799999999999996E-2</v>
      </c>
      <c r="L517" s="13">
        <f t="shared" si="18"/>
        <v>1.0272392234703618</v>
      </c>
      <c r="M517" s="16">
        <f t="shared" si="19"/>
        <v>4102.3999999999996</v>
      </c>
    </row>
    <row r="518" spans="1:13" x14ac:dyDescent="0.3">
      <c r="A518">
        <v>100516</v>
      </c>
      <c r="B518" t="s">
        <v>18</v>
      </c>
      <c r="C518" t="s">
        <v>14</v>
      </c>
      <c r="D518" t="s">
        <v>15</v>
      </c>
      <c r="E518" s="1">
        <v>45078</v>
      </c>
      <c r="F518" s="4">
        <v>25336</v>
      </c>
      <c r="G518" s="4">
        <v>949498</v>
      </c>
      <c r="H518" s="2">
        <v>95</v>
      </c>
      <c r="I518" s="16">
        <v>25</v>
      </c>
      <c r="J518" s="1">
        <v>45103</v>
      </c>
      <c r="K518" s="3">
        <v>2.6700000000000002E-2</v>
      </c>
      <c r="L518" s="13">
        <f t="shared" si="18"/>
        <v>0.10005287004290689</v>
      </c>
      <c r="M518" s="16">
        <f t="shared" si="19"/>
        <v>1013.44</v>
      </c>
    </row>
    <row r="519" spans="1:13" x14ac:dyDescent="0.3">
      <c r="A519">
        <v>100517</v>
      </c>
      <c r="B519" t="s">
        <v>10</v>
      </c>
      <c r="C519" t="s">
        <v>20</v>
      </c>
      <c r="D519" t="s">
        <v>22</v>
      </c>
      <c r="E519" s="1">
        <v>45079</v>
      </c>
      <c r="F519" s="4">
        <v>26863</v>
      </c>
      <c r="G519" s="4">
        <v>503294</v>
      </c>
      <c r="H519" s="2">
        <v>817</v>
      </c>
      <c r="I519" s="16">
        <v>29</v>
      </c>
      <c r="J519" s="1">
        <v>45108</v>
      </c>
      <c r="K519" s="3">
        <v>5.3400000000000003E-2</v>
      </c>
      <c r="L519" s="13">
        <f t="shared" si="18"/>
        <v>1.6233056622967887</v>
      </c>
      <c r="M519" s="16">
        <f t="shared" si="19"/>
        <v>926.31034482758616</v>
      </c>
    </row>
    <row r="520" spans="1:13" x14ac:dyDescent="0.3">
      <c r="A520">
        <v>100518</v>
      </c>
      <c r="B520" t="s">
        <v>18</v>
      </c>
      <c r="C520" t="s">
        <v>25</v>
      </c>
      <c r="D520" t="s">
        <v>24</v>
      </c>
      <c r="E520" s="1">
        <v>45080</v>
      </c>
      <c r="F520" s="4">
        <v>73696</v>
      </c>
      <c r="G520" s="4">
        <v>801070</v>
      </c>
      <c r="H520" s="2">
        <v>1112</v>
      </c>
      <c r="I520" s="16">
        <v>29</v>
      </c>
      <c r="J520" s="1">
        <v>45109</v>
      </c>
      <c r="K520" s="3">
        <v>9.1999999999999998E-2</v>
      </c>
      <c r="L520" s="13">
        <f t="shared" si="18"/>
        <v>1.3881433582583296</v>
      </c>
      <c r="M520" s="16">
        <f t="shared" si="19"/>
        <v>2541.2413793103447</v>
      </c>
    </row>
    <row r="521" spans="1:13" x14ac:dyDescent="0.3">
      <c r="A521">
        <v>100519</v>
      </c>
      <c r="B521" t="s">
        <v>10</v>
      </c>
      <c r="C521" t="s">
        <v>25</v>
      </c>
      <c r="D521" t="s">
        <v>22</v>
      </c>
      <c r="E521" s="1">
        <v>45081</v>
      </c>
      <c r="F521" s="4">
        <v>15194</v>
      </c>
      <c r="G521" s="4">
        <v>541521</v>
      </c>
      <c r="H521" s="2">
        <v>975</v>
      </c>
      <c r="I521" s="16">
        <v>7</v>
      </c>
      <c r="J521" s="1">
        <v>45088</v>
      </c>
      <c r="K521" s="3">
        <v>2.81E-2</v>
      </c>
      <c r="L521" s="13">
        <f t="shared" si="18"/>
        <v>1.8004841917487966</v>
      </c>
      <c r="M521" s="16">
        <f t="shared" si="19"/>
        <v>2170.5714285714284</v>
      </c>
    </row>
    <row r="522" spans="1:13" x14ac:dyDescent="0.3">
      <c r="A522">
        <v>100520</v>
      </c>
      <c r="B522" t="s">
        <v>10</v>
      </c>
      <c r="C522" t="s">
        <v>14</v>
      </c>
      <c r="D522" t="s">
        <v>15</v>
      </c>
      <c r="E522" s="1">
        <v>45082</v>
      </c>
      <c r="F522" s="4">
        <v>68100</v>
      </c>
      <c r="G522" s="4">
        <v>99992</v>
      </c>
      <c r="H522" s="2">
        <v>70</v>
      </c>
      <c r="I522" s="16">
        <v>27</v>
      </c>
      <c r="J522" s="1">
        <v>45109</v>
      </c>
      <c r="K522" s="3">
        <v>0.68110000000000004</v>
      </c>
      <c r="L522" s="13">
        <f t="shared" si="18"/>
        <v>0.70005600448035843</v>
      </c>
      <c r="M522" s="16">
        <f t="shared" si="19"/>
        <v>2522.2222222222222</v>
      </c>
    </row>
    <row r="523" spans="1:13" x14ac:dyDescent="0.3">
      <c r="A523">
        <v>100521</v>
      </c>
      <c r="B523" t="s">
        <v>18</v>
      </c>
      <c r="C523" t="s">
        <v>21</v>
      </c>
      <c r="D523" t="s">
        <v>17</v>
      </c>
      <c r="E523" s="1">
        <v>45083</v>
      </c>
      <c r="F523" s="4">
        <v>6385</v>
      </c>
      <c r="G523" s="4">
        <v>719227</v>
      </c>
      <c r="H523" s="2">
        <v>796</v>
      </c>
      <c r="I523" s="16">
        <v>26</v>
      </c>
      <c r="J523" s="1">
        <v>45109</v>
      </c>
      <c r="K523" s="3">
        <v>8.8999999999999999E-3</v>
      </c>
      <c r="L523" s="13">
        <f t="shared" si="18"/>
        <v>1.1067437679619925</v>
      </c>
      <c r="M523" s="16">
        <f t="shared" si="19"/>
        <v>245.57692307692307</v>
      </c>
    </row>
    <row r="524" spans="1:13" x14ac:dyDescent="0.3">
      <c r="A524">
        <v>100522</v>
      </c>
      <c r="B524" t="s">
        <v>18</v>
      </c>
      <c r="C524" t="s">
        <v>25</v>
      </c>
      <c r="D524" t="s">
        <v>17</v>
      </c>
      <c r="E524" s="1">
        <v>45084</v>
      </c>
      <c r="F524" s="4">
        <v>6275</v>
      </c>
      <c r="G524" s="4">
        <v>581862</v>
      </c>
      <c r="H524" s="2">
        <v>3879</v>
      </c>
      <c r="I524" s="16">
        <v>15</v>
      </c>
      <c r="J524" s="1">
        <v>45099</v>
      </c>
      <c r="K524" s="3">
        <v>1.0800000000000001E-2</v>
      </c>
      <c r="L524" s="13">
        <f t="shared" si="18"/>
        <v>6.6665291770213555</v>
      </c>
      <c r="M524" s="16">
        <f t="shared" si="19"/>
        <v>418.33333333333331</v>
      </c>
    </row>
    <row r="525" spans="1:13" x14ac:dyDescent="0.3">
      <c r="A525">
        <v>100523</v>
      </c>
      <c r="B525" t="s">
        <v>13</v>
      </c>
      <c r="C525" t="s">
        <v>23</v>
      </c>
      <c r="D525" t="s">
        <v>22</v>
      </c>
      <c r="E525" s="1">
        <v>45085</v>
      </c>
      <c r="F525" s="4">
        <v>36378</v>
      </c>
      <c r="G525" s="4">
        <v>64579</v>
      </c>
      <c r="H525" s="2">
        <v>3732</v>
      </c>
      <c r="I525" s="16">
        <v>4</v>
      </c>
      <c r="J525" s="1">
        <v>45089</v>
      </c>
      <c r="K525" s="3">
        <v>0.56330000000000002</v>
      </c>
      <c r="L525" s="13">
        <f t="shared" si="18"/>
        <v>57.789683952987815</v>
      </c>
      <c r="M525" s="16">
        <f t="shared" si="19"/>
        <v>9094.5</v>
      </c>
    </row>
    <row r="526" spans="1:13" x14ac:dyDescent="0.3">
      <c r="A526">
        <v>100524</v>
      </c>
      <c r="B526" t="s">
        <v>18</v>
      </c>
      <c r="C526" t="s">
        <v>21</v>
      </c>
      <c r="D526" t="s">
        <v>24</v>
      </c>
      <c r="E526" s="1">
        <v>45086</v>
      </c>
      <c r="F526" s="4">
        <v>33190</v>
      </c>
      <c r="G526" s="4">
        <v>197091</v>
      </c>
      <c r="H526" s="2">
        <v>3009</v>
      </c>
      <c r="I526" s="16">
        <v>26</v>
      </c>
      <c r="J526" s="1">
        <v>45112</v>
      </c>
      <c r="K526" s="3">
        <v>0.16839999999999999</v>
      </c>
      <c r="L526" s="13">
        <f t="shared" si="18"/>
        <v>15.267059378662648</v>
      </c>
      <c r="M526" s="16">
        <f t="shared" si="19"/>
        <v>1276.5384615384614</v>
      </c>
    </row>
    <row r="527" spans="1:13" x14ac:dyDescent="0.3">
      <c r="A527">
        <v>100525</v>
      </c>
      <c r="B527" t="s">
        <v>18</v>
      </c>
      <c r="C527" t="s">
        <v>11</v>
      </c>
      <c r="D527" t="s">
        <v>17</v>
      </c>
      <c r="E527" s="1">
        <v>45087</v>
      </c>
      <c r="F527" s="4">
        <v>39477</v>
      </c>
      <c r="G527" s="4">
        <v>533510</v>
      </c>
      <c r="H527" s="2">
        <v>919</v>
      </c>
      <c r="I527" s="16">
        <v>1</v>
      </c>
      <c r="J527" s="1">
        <v>45088</v>
      </c>
      <c r="K527" s="3">
        <v>7.3999999999999996E-2</v>
      </c>
      <c r="L527" s="13">
        <f t="shared" si="18"/>
        <v>1.7225544038537235</v>
      </c>
      <c r="M527" s="16">
        <f t="shared" si="19"/>
        <v>39477</v>
      </c>
    </row>
    <row r="528" spans="1:13" x14ac:dyDescent="0.3">
      <c r="A528">
        <v>100526</v>
      </c>
      <c r="B528" t="s">
        <v>19</v>
      </c>
      <c r="C528" t="s">
        <v>14</v>
      </c>
      <c r="D528" t="s">
        <v>22</v>
      </c>
      <c r="E528" s="1">
        <v>45088</v>
      </c>
      <c r="F528" s="4">
        <v>2732</v>
      </c>
      <c r="G528" s="4">
        <v>665449</v>
      </c>
      <c r="H528" s="2">
        <v>2363</v>
      </c>
      <c r="I528" s="16">
        <v>11</v>
      </c>
      <c r="J528" s="1">
        <v>45099</v>
      </c>
      <c r="K528" s="3">
        <v>4.1000000000000003E-3</v>
      </c>
      <c r="L528" s="13">
        <f t="shared" si="18"/>
        <v>3.5509858757019699</v>
      </c>
      <c r="M528" s="16">
        <f t="shared" si="19"/>
        <v>248.36363636363637</v>
      </c>
    </row>
    <row r="529" spans="1:13" x14ac:dyDescent="0.3">
      <c r="A529">
        <v>100527</v>
      </c>
      <c r="B529" t="s">
        <v>19</v>
      </c>
      <c r="C529" t="s">
        <v>21</v>
      </c>
      <c r="D529" t="s">
        <v>15</v>
      </c>
      <c r="E529" s="1">
        <v>45089</v>
      </c>
      <c r="F529" s="4">
        <v>28339</v>
      </c>
      <c r="G529" s="4">
        <v>100141</v>
      </c>
      <c r="H529" s="2">
        <v>3260</v>
      </c>
      <c r="I529" s="16">
        <v>2</v>
      </c>
      <c r="J529" s="1">
        <v>45091</v>
      </c>
      <c r="K529" s="3">
        <v>0.28299999999999997</v>
      </c>
      <c r="L529" s="13">
        <f t="shared" si="18"/>
        <v>32.554098720803673</v>
      </c>
      <c r="M529" s="16">
        <f t="shared" si="19"/>
        <v>14169.5</v>
      </c>
    </row>
    <row r="530" spans="1:13" x14ac:dyDescent="0.3">
      <c r="A530">
        <v>100528</v>
      </c>
      <c r="B530" t="s">
        <v>10</v>
      </c>
      <c r="C530" t="s">
        <v>14</v>
      </c>
      <c r="D530" t="s">
        <v>15</v>
      </c>
      <c r="E530" s="1">
        <v>45090</v>
      </c>
      <c r="F530" s="4">
        <v>15053</v>
      </c>
      <c r="G530" s="4">
        <v>589819</v>
      </c>
      <c r="H530" s="2">
        <v>3489</v>
      </c>
      <c r="I530" s="16">
        <v>12</v>
      </c>
      <c r="J530" s="1">
        <v>45102</v>
      </c>
      <c r="K530" s="3">
        <v>2.5499999999999998E-2</v>
      </c>
      <c r="L530" s="13">
        <f t="shared" si="18"/>
        <v>5.9153740384762106</v>
      </c>
      <c r="M530" s="16">
        <f t="shared" si="19"/>
        <v>1254.4166666666667</v>
      </c>
    </row>
    <row r="531" spans="1:13" x14ac:dyDescent="0.3">
      <c r="A531">
        <v>100529</v>
      </c>
      <c r="B531" t="s">
        <v>18</v>
      </c>
      <c r="C531" t="s">
        <v>16</v>
      </c>
      <c r="D531" t="s">
        <v>22</v>
      </c>
      <c r="E531" s="1">
        <v>45091</v>
      </c>
      <c r="F531" s="4">
        <v>94156</v>
      </c>
      <c r="G531" s="4">
        <v>671589</v>
      </c>
      <c r="H531" s="2">
        <v>4888</v>
      </c>
      <c r="I531" s="16">
        <v>21</v>
      </c>
      <c r="J531" s="1">
        <v>45112</v>
      </c>
      <c r="K531" s="3">
        <v>0.14019999999999999</v>
      </c>
      <c r="L531" s="13">
        <f t="shared" si="18"/>
        <v>7.2782609602003614</v>
      </c>
      <c r="M531" s="16">
        <f t="shared" si="19"/>
        <v>4483.6190476190477</v>
      </c>
    </row>
    <row r="532" spans="1:13" x14ac:dyDescent="0.3">
      <c r="A532">
        <v>100530</v>
      </c>
      <c r="B532" t="s">
        <v>13</v>
      </c>
      <c r="C532" t="s">
        <v>21</v>
      </c>
      <c r="D532" t="s">
        <v>12</v>
      </c>
      <c r="E532" s="1">
        <v>45092</v>
      </c>
      <c r="F532" s="4">
        <v>25496</v>
      </c>
      <c r="G532" s="4">
        <v>861424</v>
      </c>
      <c r="H532" s="2">
        <v>1871</v>
      </c>
      <c r="I532" s="16">
        <v>27</v>
      </c>
      <c r="J532" s="1">
        <v>45119</v>
      </c>
      <c r="K532" s="3">
        <v>2.9600000000000001E-2</v>
      </c>
      <c r="L532" s="13">
        <f t="shared" si="18"/>
        <v>2.1719849922918328</v>
      </c>
      <c r="M532" s="16">
        <f t="shared" si="19"/>
        <v>944.2962962962963</v>
      </c>
    </row>
    <row r="533" spans="1:13" x14ac:dyDescent="0.3">
      <c r="A533">
        <v>100531</v>
      </c>
      <c r="B533" t="s">
        <v>10</v>
      </c>
      <c r="C533" t="s">
        <v>25</v>
      </c>
      <c r="D533" t="s">
        <v>24</v>
      </c>
      <c r="E533" s="1">
        <v>45093</v>
      </c>
      <c r="F533" s="4">
        <v>5753</v>
      </c>
      <c r="G533" s="4">
        <v>714025</v>
      </c>
      <c r="H533" s="2">
        <v>3719</v>
      </c>
      <c r="I533" s="16">
        <v>23</v>
      </c>
      <c r="J533" s="1">
        <v>45116</v>
      </c>
      <c r="K533" s="3">
        <v>8.0999999999999996E-3</v>
      </c>
      <c r="L533" s="13">
        <f t="shared" si="18"/>
        <v>5.2085011029025594</v>
      </c>
      <c r="M533" s="16">
        <f t="shared" si="19"/>
        <v>250.13043478260869</v>
      </c>
    </row>
    <row r="534" spans="1:13" x14ac:dyDescent="0.3">
      <c r="A534">
        <v>100532</v>
      </c>
      <c r="B534" t="s">
        <v>18</v>
      </c>
      <c r="C534" t="s">
        <v>23</v>
      </c>
      <c r="D534" t="s">
        <v>24</v>
      </c>
      <c r="E534" s="1">
        <v>45094</v>
      </c>
      <c r="F534" s="4">
        <v>53374</v>
      </c>
      <c r="G534" s="4">
        <v>503072</v>
      </c>
      <c r="H534" s="2">
        <v>1403</v>
      </c>
      <c r="I534" s="16">
        <v>23</v>
      </c>
      <c r="J534" s="1">
        <v>45117</v>
      </c>
      <c r="K534" s="3">
        <v>0.1061</v>
      </c>
      <c r="L534" s="13">
        <f t="shared" si="18"/>
        <v>2.7888652121366326</v>
      </c>
      <c r="M534" s="16">
        <f t="shared" si="19"/>
        <v>2320.608695652174</v>
      </c>
    </row>
    <row r="535" spans="1:13" x14ac:dyDescent="0.3">
      <c r="A535">
        <v>100533</v>
      </c>
      <c r="B535" t="s">
        <v>13</v>
      </c>
      <c r="C535" t="s">
        <v>16</v>
      </c>
      <c r="D535" t="s">
        <v>17</v>
      </c>
      <c r="E535" s="1">
        <v>45095</v>
      </c>
      <c r="F535" s="4">
        <v>2200</v>
      </c>
      <c r="G535" s="4">
        <v>331588</v>
      </c>
      <c r="H535" s="2">
        <v>2990</v>
      </c>
      <c r="I535" s="16">
        <v>12</v>
      </c>
      <c r="J535" s="1">
        <v>45107</v>
      </c>
      <c r="K535" s="3">
        <v>6.6E-3</v>
      </c>
      <c r="L535" s="13">
        <f t="shared" si="18"/>
        <v>9.0172141332014419</v>
      </c>
      <c r="M535" s="16">
        <f t="shared" si="19"/>
        <v>183.33333333333334</v>
      </c>
    </row>
    <row r="536" spans="1:13" x14ac:dyDescent="0.3">
      <c r="A536">
        <v>100534</v>
      </c>
      <c r="B536" t="s">
        <v>18</v>
      </c>
      <c r="C536" t="s">
        <v>20</v>
      </c>
      <c r="D536" t="s">
        <v>15</v>
      </c>
      <c r="E536" s="1">
        <v>45096</v>
      </c>
      <c r="F536" s="4">
        <v>49746</v>
      </c>
      <c r="G536" s="4">
        <v>423485</v>
      </c>
      <c r="H536" s="2">
        <v>1823</v>
      </c>
      <c r="I536" s="16">
        <v>27</v>
      </c>
      <c r="J536" s="1">
        <v>45123</v>
      </c>
      <c r="K536" s="3">
        <v>0.11749999999999999</v>
      </c>
      <c r="L536" s="13">
        <f t="shared" si="18"/>
        <v>4.3047569571531454</v>
      </c>
      <c r="M536" s="16">
        <f t="shared" si="19"/>
        <v>1842.4444444444443</v>
      </c>
    </row>
    <row r="537" spans="1:13" x14ac:dyDescent="0.3">
      <c r="A537">
        <v>100535</v>
      </c>
      <c r="B537" t="s">
        <v>18</v>
      </c>
      <c r="C537" t="s">
        <v>11</v>
      </c>
      <c r="D537" t="s">
        <v>24</v>
      </c>
      <c r="E537" s="1">
        <v>45097</v>
      </c>
      <c r="F537" s="4">
        <v>82615</v>
      </c>
      <c r="G537" s="4">
        <v>371269</v>
      </c>
      <c r="H537" s="2">
        <v>1609</v>
      </c>
      <c r="I537" s="16">
        <v>5</v>
      </c>
      <c r="J537" s="1">
        <v>45102</v>
      </c>
      <c r="K537" s="3">
        <v>0.2225</v>
      </c>
      <c r="L537" s="13">
        <f t="shared" si="18"/>
        <v>4.3337849376058868</v>
      </c>
      <c r="M537" s="16">
        <f t="shared" si="19"/>
        <v>16523</v>
      </c>
    </row>
    <row r="538" spans="1:13" x14ac:dyDescent="0.3">
      <c r="A538">
        <v>100536</v>
      </c>
      <c r="B538" t="s">
        <v>13</v>
      </c>
      <c r="C538" t="s">
        <v>21</v>
      </c>
      <c r="D538" t="s">
        <v>12</v>
      </c>
      <c r="E538" s="1">
        <v>45098</v>
      </c>
      <c r="F538" s="4">
        <v>69314</v>
      </c>
      <c r="G538" s="4">
        <v>447295</v>
      </c>
      <c r="H538" s="2">
        <v>2031</v>
      </c>
      <c r="I538" s="16">
        <v>22</v>
      </c>
      <c r="J538" s="1">
        <v>45120</v>
      </c>
      <c r="K538" s="3">
        <v>0.155</v>
      </c>
      <c r="L538" s="13">
        <f t="shared" si="18"/>
        <v>4.5406275500508606</v>
      </c>
      <c r="M538" s="16">
        <f t="shared" si="19"/>
        <v>3150.6363636363635</v>
      </c>
    </row>
    <row r="539" spans="1:13" x14ac:dyDescent="0.3">
      <c r="A539">
        <v>100537</v>
      </c>
      <c r="B539" t="s">
        <v>18</v>
      </c>
      <c r="C539" t="s">
        <v>25</v>
      </c>
      <c r="D539" t="s">
        <v>17</v>
      </c>
      <c r="E539" s="1">
        <v>45099</v>
      </c>
      <c r="F539" s="4">
        <v>38106</v>
      </c>
      <c r="G539" s="4">
        <v>867764</v>
      </c>
      <c r="H539" s="2">
        <v>2426</v>
      </c>
      <c r="I539" s="16">
        <v>28</v>
      </c>
      <c r="J539" s="1">
        <v>45127</v>
      </c>
      <c r="K539" s="3">
        <v>4.3900000000000002E-2</v>
      </c>
      <c r="L539" s="13">
        <f t="shared" si="18"/>
        <v>2.7956909943256463</v>
      </c>
      <c r="M539" s="16">
        <f t="shared" si="19"/>
        <v>1360.9285714285713</v>
      </c>
    </row>
    <row r="540" spans="1:13" x14ac:dyDescent="0.3">
      <c r="A540">
        <v>100538</v>
      </c>
      <c r="B540" t="s">
        <v>18</v>
      </c>
      <c r="C540" t="s">
        <v>21</v>
      </c>
      <c r="D540" t="s">
        <v>12</v>
      </c>
      <c r="E540" s="1">
        <v>45100</v>
      </c>
      <c r="F540" s="4">
        <v>95705</v>
      </c>
      <c r="G540" s="4">
        <v>523460</v>
      </c>
      <c r="H540" s="2">
        <v>3704</v>
      </c>
      <c r="I540" s="16">
        <v>10</v>
      </c>
      <c r="J540" s="1">
        <v>45110</v>
      </c>
      <c r="K540" s="3">
        <v>0.18279999999999999</v>
      </c>
      <c r="L540" s="13">
        <f t="shared" si="18"/>
        <v>7.0759943453176941</v>
      </c>
      <c r="M540" s="16">
        <f t="shared" si="19"/>
        <v>9570.5</v>
      </c>
    </row>
    <row r="541" spans="1:13" x14ac:dyDescent="0.3">
      <c r="A541">
        <v>100539</v>
      </c>
      <c r="B541" t="s">
        <v>10</v>
      </c>
      <c r="C541" t="s">
        <v>11</v>
      </c>
      <c r="D541" t="s">
        <v>15</v>
      </c>
      <c r="E541" s="1">
        <v>45101</v>
      </c>
      <c r="F541" s="4">
        <v>78571</v>
      </c>
      <c r="G541" s="4">
        <v>780730</v>
      </c>
      <c r="H541" s="2">
        <v>928</v>
      </c>
      <c r="I541" s="16">
        <v>6</v>
      </c>
      <c r="J541" s="1">
        <v>45107</v>
      </c>
      <c r="K541" s="3">
        <v>0.10059999999999999</v>
      </c>
      <c r="L541" s="13">
        <f t="shared" si="18"/>
        <v>1.1886311528953672</v>
      </c>
      <c r="M541" s="16">
        <f t="shared" si="19"/>
        <v>13095.166666666666</v>
      </c>
    </row>
    <row r="542" spans="1:13" x14ac:dyDescent="0.3">
      <c r="A542">
        <v>100540</v>
      </c>
      <c r="B542" t="s">
        <v>19</v>
      </c>
      <c r="C542" t="s">
        <v>23</v>
      </c>
      <c r="D542" t="s">
        <v>24</v>
      </c>
      <c r="E542" s="1">
        <v>45102</v>
      </c>
      <c r="F542" s="4">
        <v>1373</v>
      </c>
      <c r="G542" s="4">
        <v>6525</v>
      </c>
      <c r="H542" s="2">
        <v>2752</v>
      </c>
      <c r="I542" s="16">
        <v>23</v>
      </c>
      <c r="J542" s="1">
        <v>45125</v>
      </c>
      <c r="K542" s="3">
        <v>0.2104</v>
      </c>
      <c r="L542" s="13">
        <f t="shared" si="18"/>
        <v>421.76245210727967</v>
      </c>
      <c r="M542" s="16">
        <f t="shared" si="19"/>
        <v>59.695652173913047</v>
      </c>
    </row>
    <row r="543" spans="1:13" x14ac:dyDescent="0.3">
      <c r="A543">
        <v>100541</v>
      </c>
      <c r="B543" t="s">
        <v>13</v>
      </c>
      <c r="C543" t="s">
        <v>16</v>
      </c>
      <c r="D543" t="s">
        <v>12</v>
      </c>
      <c r="E543" s="1">
        <v>45103</v>
      </c>
      <c r="F543" s="4">
        <v>80337</v>
      </c>
      <c r="G543" s="4">
        <v>708936</v>
      </c>
      <c r="H543" s="2">
        <v>945</v>
      </c>
      <c r="I543" s="16">
        <v>25</v>
      </c>
      <c r="J543" s="1">
        <v>45128</v>
      </c>
      <c r="K543" s="3">
        <v>0.1133</v>
      </c>
      <c r="L543" s="13">
        <f t="shared" si="18"/>
        <v>1.3329835133213719</v>
      </c>
      <c r="M543" s="16">
        <f t="shared" si="19"/>
        <v>3213.48</v>
      </c>
    </row>
    <row r="544" spans="1:13" x14ac:dyDescent="0.3">
      <c r="A544">
        <v>100542</v>
      </c>
      <c r="B544" t="s">
        <v>10</v>
      </c>
      <c r="C544" t="s">
        <v>25</v>
      </c>
      <c r="D544" t="s">
        <v>22</v>
      </c>
      <c r="E544" s="1">
        <v>45104</v>
      </c>
      <c r="F544" s="4">
        <v>8840</v>
      </c>
      <c r="G544" s="4">
        <v>532195</v>
      </c>
      <c r="H544" s="2">
        <v>663</v>
      </c>
      <c r="I544" s="16">
        <v>6</v>
      </c>
      <c r="J544" s="1">
        <v>45110</v>
      </c>
      <c r="K544" s="3">
        <v>1.66E-2</v>
      </c>
      <c r="L544" s="13">
        <f t="shared" si="18"/>
        <v>1.2457839701613131</v>
      </c>
      <c r="M544" s="16">
        <f t="shared" si="19"/>
        <v>1473.3333333333333</v>
      </c>
    </row>
    <row r="545" spans="1:13" x14ac:dyDescent="0.3">
      <c r="A545">
        <v>100543</v>
      </c>
      <c r="B545" t="s">
        <v>19</v>
      </c>
      <c r="C545" t="s">
        <v>16</v>
      </c>
      <c r="D545" t="s">
        <v>17</v>
      </c>
      <c r="E545" s="1">
        <v>45105</v>
      </c>
      <c r="F545" s="4">
        <v>27429</v>
      </c>
      <c r="G545" s="4">
        <v>750342</v>
      </c>
      <c r="H545" s="2">
        <v>4696</v>
      </c>
      <c r="I545" s="16">
        <v>26</v>
      </c>
      <c r="J545" s="1">
        <v>45131</v>
      </c>
      <c r="K545" s="3">
        <v>3.6600000000000001E-2</v>
      </c>
      <c r="L545" s="13">
        <f t="shared" si="18"/>
        <v>6.25847946669652</v>
      </c>
      <c r="M545" s="16">
        <f t="shared" si="19"/>
        <v>1054.9615384615386</v>
      </c>
    </row>
    <row r="546" spans="1:13" x14ac:dyDescent="0.3">
      <c r="A546">
        <v>100544</v>
      </c>
      <c r="B546" t="s">
        <v>18</v>
      </c>
      <c r="C546" t="s">
        <v>14</v>
      </c>
      <c r="D546" t="s">
        <v>17</v>
      </c>
      <c r="E546" s="1">
        <v>45106</v>
      </c>
      <c r="F546" s="4">
        <v>8827</v>
      </c>
      <c r="G546" s="4">
        <v>122640</v>
      </c>
      <c r="H546" s="2">
        <v>3003</v>
      </c>
      <c r="I546" s="16">
        <v>28</v>
      </c>
      <c r="J546" s="1">
        <v>45134</v>
      </c>
      <c r="K546" s="3">
        <v>7.1999999999999995E-2</v>
      </c>
      <c r="L546" s="13">
        <f t="shared" si="18"/>
        <v>24.486301369863014</v>
      </c>
      <c r="M546" s="16">
        <f t="shared" si="19"/>
        <v>315.25</v>
      </c>
    </row>
    <row r="547" spans="1:13" x14ac:dyDescent="0.3">
      <c r="A547">
        <v>100545</v>
      </c>
      <c r="B547" t="s">
        <v>13</v>
      </c>
      <c r="C547" t="s">
        <v>25</v>
      </c>
      <c r="D547" t="s">
        <v>12</v>
      </c>
      <c r="E547" s="1">
        <v>45107</v>
      </c>
      <c r="F547" s="4">
        <v>81296</v>
      </c>
      <c r="G547" s="4">
        <v>405119</v>
      </c>
      <c r="H547" s="2">
        <v>3898</v>
      </c>
      <c r="I547" s="16">
        <v>7</v>
      </c>
      <c r="J547" s="1">
        <v>45114</v>
      </c>
      <c r="K547" s="3">
        <v>0.20069999999999999</v>
      </c>
      <c r="L547" s="13">
        <f t="shared" si="18"/>
        <v>9.6218641929902073</v>
      </c>
      <c r="M547" s="16">
        <f t="shared" si="19"/>
        <v>11613.714285714286</v>
      </c>
    </row>
    <row r="548" spans="1:13" x14ac:dyDescent="0.3">
      <c r="A548">
        <v>100546</v>
      </c>
      <c r="B548" t="s">
        <v>18</v>
      </c>
      <c r="C548" t="s">
        <v>11</v>
      </c>
      <c r="D548" t="s">
        <v>15</v>
      </c>
      <c r="E548" s="1">
        <v>45108</v>
      </c>
      <c r="F548" s="4">
        <v>12265</v>
      </c>
      <c r="G548" s="4">
        <v>775132</v>
      </c>
      <c r="H548" s="2">
        <v>1821</v>
      </c>
      <c r="I548" s="16">
        <v>6</v>
      </c>
      <c r="J548" s="1">
        <v>45114</v>
      </c>
      <c r="K548" s="3">
        <v>1.5800000000000002E-2</v>
      </c>
      <c r="L548" s="13">
        <f t="shared" si="18"/>
        <v>2.3492772843851113</v>
      </c>
      <c r="M548" s="16">
        <f t="shared" si="19"/>
        <v>2044.1666666666667</v>
      </c>
    </row>
    <row r="549" spans="1:13" x14ac:dyDescent="0.3">
      <c r="A549">
        <v>100547</v>
      </c>
      <c r="B549" t="s">
        <v>18</v>
      </c>
      <c r="C549" t="s">
        <v>14</v>
      </c>
      <c r="D549" t="s">
        <v>15</v>
      </c>
      <c r="E549" s="1">
        <v>45109</v>
      </c>
      <c r="F549" s="4">
        <v>47808</v>
      </c>
      <c r="G549" s="4">
        <v>48241</v>
      </c>
      <c r="H549" s="2">
        <v>4542</v>
      </c>
      <c r="I549" s="16">
        <v>22</v>
      </c>
      <c r="J549" s="1">
        <v>45131</v>
      </c>
      <c r="K549" s="3">
        <v>0.99099999999999999</v>
      </c>
      <c r="L549" s="13">
        <f t="shared" si="18"/>
        <v>94.152277108683492</v>
      </c>
      <c r="M549" s="16">
        <f t="shared" si="19"/>
        <v>2173.090909090909</v>
      </c>
    </row>
    <row r="550" spans="1:13" x14ac:dyDescent="0.3">
      <c r="A550">
        <v>100548</v>
      </c>
      <c r="B550" t="s">
        <v>10</v>
      </c>
      <c r="C550" t="s">
        <v>25</v>
      </c>
      <c r="D550" t="s">
        <v>12</v>
      </c>
      <c r="E550" s="1">
        <v>45110</v>
      </c>
      <c r="F550" s="4">
        <v>59643</v>
      </c>
      <c r="G550" s="4">
        <v>343979</v>
      </c>
      <c r="H550" s="2">
        <v>2336</v>
      </c>
      <c r="I550" s="16">
        <v>13</v>
      </c>
      <c r="J550" s="1">
        <v>45123</v>
      </c>
      <c r="K550" s="3">
        <v>0.1734</v>
      </c>
      <c r="L550" s="13">
        <f t="shared" si="18"/>
        <v>6.7911122481314274</v>
      </c>
      <c r="M550" s="16">
        <f t="shared" si="19"/>
        <v>4587.9230769230771</v>
      </c>
    </row>
    <row r="551" spans="1:13" x14ac:dyDescent="0.3">
      <c r="A551">
        <v>100549</v>
      </c>
      <c r="B551" t="s">
        <v>13</v>
      </c>
      <c r="C551" t="s">
        <v>21</v>
      </c>
      <c r="D551" t="s">
        <v>22</v>
      </c>
      <c r="E551" s="1">
        <v>45111</v>
      </c>
      <c r="F551" s="4">
        <v>48060</v>
      </c>
      <c r="G551" s="4">
        <v>278490</v>
      </c>
      <c r="H551" s="2">
        <v>3316</v>
      </c>
      <c r="I551" s="16">
        <v>13</v>
      </c>
      <c r="J551" s="1">
        <v>45124</v>
      </c>
      <c r="K551" s="3">
        <v>0.1726</v>
      </c>
      <c r="L551" s="13">
        <f t="shared" si="18"/>
        <v>11.907070271823045</v>
      </c>
      <c r="M551" s="16">
        <f t="shared" si="19"/>
        <v>3696.9230769230771</v>
      </c>
    </row>
    <row r="552" spans="1:13" x14ac:dyDescent="0.3">
      <c r="A552">
        <v>100550</v>
      </c>
      <c r="B552" t="s">
        <v>13</v>
      </c>
      <c r="C552" t="s">
        <v>21</v>
      </c>
      <c r="D552" t="s">
        <v>24</v>
      </c>
      <c r="E552" s="1">
        <v>45112</v>
      </c>
      <c r="F552" s="4">
        <v>74846</v>
      </c>
      <c r="G552" s="4">
        <v>557250</v>
      </c>
      <c r="H552" s="2">
        <v>2218</v>
      </c>
      <c r="I552" s="16">
        <v>16</v>
      </c>
      <c r="J552" s="1">
        <v>45128</v>
      </c>
      <c r="K552" s="3">
        <v>0.1343</v>
      </c>
      <c r="L552" s="13">
        <f t="shared" si="18"/>
        <v>3.9802602063705703</v>
      </c>
      <c r="M552" s="16">
        <f t="shared" si="19"/>
        <v>4677.875</v>
      </c>
    </row>
    <row r="553" spans="1:13" x14ac:dyDescent="0.3">
      <c r="A553">
        <v>100551</v>
      </c>
      <c r="B553" t="s">
        <v>18</v>
      </c>
      <c r="C553" t="s">
        <v>11</v>
      </c>
      <c r="D553" t="s">
        <v>15</v>
      </c>
      <c r="E553" s="1">
        <v>45113</v>
      </c>
      <c r="F553" s="4">
        <v>71839</v>
      </c>
      <c r="G553" s="4">
        <v>567814</v>
      </c>
      <c r="H553" s="2">
        <v>1674</v>
      </c>
      <c r="I553" s="16">
        <v>18</v>
      </c>
      <c r="J553" s="1">
        <v>45131</v>
      </c>
      <c r="K553" s="3">
        <v>0.1265</v>
      </c>
      <c r="L553" s="13">
        <f t="shared" si="18"/>
        <v>2.948148513421649</v>
      </c>
      <c r="M553" s="16">
        <f t="shared" si="19"/>
        <v>3991.0555555555557</v>
      </c>
    </row>
    <row r="554" spans="1:13" x14ac:dyDescent="0.3">
      <c r="A554">
        <v>100552</v>
      </c>
      <c r="B554" t="s">
        <v>18</v>
      </c>
      <c r="C554" t="s">
        <v>23</v>
      </c>
      <c r="D554" t="s">
        <v>17</v>
      </c>
      <c r="E554" s="1">
        <v>45114</v>
      </c>
      <c r="F554" s="4">
        <v>98843</v>
      </c>
      <c r="G554" s="4">
        <v>393759</v>
      </c>
      <c r="H554" s="2">
        <v>4625</v>
      </c>
      <c r="I554" s="16">
        <v>21</v>
      </c>
      <c r="J554" s="1">
        <v>45135</v>
      </c>
      <c r="K554" s="3">
        <v>0.251</v>
      </c>
      <c r="L554" s="13">
        <f t="shared" si="18"/>
        <v>11.745763271442684</v>
      </c>
      <c r="M554" s="16">
        <f t="shared" si="19"/>
        <v>4706.8095238095239</v>
      </c>
    </row>
    <row r="555" spans="1:13" x14ac:dyDescent="0.3">
      <c r="A555">
        <v>100553</v>
      </c>
      <c r="B555" t="s">
        <v>19</v>
      </c>
      <c r="C555" t="s">
        <v>23</v>
      </c>
      <c r="D555" t="s">
        <v>17</v>
      </c>
      <c r="E555" s="1">
        <v>45115</v>
      </c>
      <c r="F555" s="4">
        <v>41243</v>
      </c>
      <c r="G555" s="4">
        <v>281866</v>
      </c>
      <c r="H555" s="2">
        <v>1808</v>
      </c>
      <c r="I555" s="16">
        <v>16</v>
      </c>
      <c r="J555" s="1">
        <v>45131</v>
      </c>
      <c r="K555" s="3">
        <v>0.14630000000000001</v>
      </c>
      <c r="L555" s="13">
        <f t="shared" si="18"/>
        <v>6.4143954928937861</v>
      </c>
      <c r="M555" s="16">
        <f t="shared" si="19"/>
        <v>2577.6875</v>
      </c>
    </row>
    <row r="556" spans="1:13" x14ac:dyDescent="0.3">
      <c r="A556">
        <v>100554</v>
      </c>
      <c r="B556" t="s">
        <v>18</v>
      </c>
      <c r="C556" t="s">
        <v>14</v>
      </c>
      <c r="D556" t="s">
        <v>22</v>
      </c>
      <c r="E556" s="1">
        <v>45116</v>
      </c>
      <c r="F556" s="4">
        <v>19255</v>
      </c>
      <c r="G556" s="4">
        <v>517762</v>
      </c>
      <c r="H556" s="2">
        <v>1941</v>
      </c>
      <c r="I556" s="16">
        <v>10</v>
      </c>
      <c r="J556" s="1">
        <v>45126</v>
      </c>
      <c r="K556" s="3">
        <v>3.7199999999999997E-2</v>
      </c>
      <c r="L556" s="13">
        <f t="shared" si="18"/>
        <v>3.7488266809846995</v>
      </c>
      <c r="M556" s="16">
        <f t="shared" si="19"/>
        <v>1925.5</v>
      </c>
    </row>
    <row r="557" spans="1:13" x14ac:dyDescent="0.3">
      <c r="A557">
        <v>100555</v>
      </c>
      <c r="B557" t="s">
        <v>18</v>
      </c>
      <c r="C557" t="s">
        <v>16</v>
      </c>
      <c r="D557" t="s">
        <v>24</v>
      </c>
      <c r="E557" s="1">
        <v>45117</v>
      </c>
      <c r="F557" s="4">
        <v>1538</v>
      </c>
      <c r="G557" s="4">
        <v>726968</v>
      </c>
      <c r="H557" s="2">
        <v>2889</v>
      </c>
      <c r="I557" s="16">
        <v>23</v>
      </c>
      <c r="J557" s="1">
        <v>45140</v>
      </c>
      <c r="K557" s="3">
        <v>2.0999999999999999E-3</v>
      </c>
      <c r="L557" s="13">
        <f t="shared" si="18"/>
        <v>3.9740401228114579</v>
      </c>
      <c r="M557" s="16">
        <f t="shared" si="19"/>
        <v>66.869565217391298</v>
      </c>
    </row>
    <row r="558" spans="1:13" x14ac:dyDescent="0.3">
      <c r="A558">
        <v>100556</v>
      </c>
      <c r="B558" t="s">
        <v>18</v>
      </c>
      <c r="C558" t="s">
        <v>20</v>
      </c>
      <c r="D558" t="s">
        <v>15</v>
      </c>
      <c r="E558" s="1">
        <v>45118</v>
      </c>
      <c r="F558" s="4">
        <v>93674</v>
      </c>
      <c r="G558" s="4">
        <v>965075</v>
      </c>
      <c r="H558" s="2">
        <v>1279</v>
      </c>
      <c r="I558" s="16">
        <v>28</v>
      </c>
      <c r="J558" s="1">
        <v>45146</v>
      </c>
      <c r="K558" s="3">
        <v>9.7100000000000006E-2</v>
      </c>
      <c r="L558" s="13">
        <f t="shared" si="18"/>
        <v>1.3252855995648007</v>
      </c>
      <c r="M558" s="16">
        <f t="shared" si="19"/>
        <v>3345.5</v>
      </c>
    </row>
    <row r="559" spans="1:13" x14ac:dyDescent="0.3">
      <c r="A559">
        <v>100557</v>
      </c>
      <c r="B559" t="s">
        <v>13</v>
      </c>
      <c r="C559" t="s">
        <v>16</v>
      </c>
      <c r="D559" t="s">
        <v>12</v>
      </c>
      <c r="E559" s="1">
        <v>45119</v>
      </c>
      <c r="F559" s="4">
        <v>58114</v>
      </c>
      <c r="G559" s="4">
        <v>375685</v>
      </c>
      <c r="H559" s="2">
        <v>877</v>
      </c>
      <c r="I559" s="16">
        <v>14</v>
      </c>
      <c r="J559" s="1">
        <v>45133</v>
      </c>
      <c r="K559" s="3">
        <v>0.1547</v>
      </c>
      <c r="L559" s="13">
        <f t="shared" si="18"/>
        <v>2.3344024914489534</v>
      </c>
      <c r="M559" s="16">
        <f t="shared" si="19"/>
        <v>4151</v>
      </c>
    </row>
    <row r="560" spans="1:13" x14ac:dyDescent="0.3">
      <c r="A560">
        <v>100558</v>
      </c>
      <c r="B560" t="s">
        <v>13</v>
      </c>
      <c r="C560" t="s">
        <v>25</v>
      </c>
      <c r="D560" t="s">
        <v>24</v>
      </c>
      <c r="E560" s="1">
        <v>45120</v>
      </c>
      <c r="F560" s="4">
        <v>14930</v>
      </c>
      <c r="G560" s="4">
        <v>876432</v>
      </c>
      <c r="H560" s="2">
        <v>3656</v>
      </c>
      <c r="I560" s="16">
        <v>22</v>
      </c>
      <c r="J560" s="1">
        <v>45142</v>
      </c>
      <c r="K560" s="3">
        <v>1.7000000000000001E-2</v>
      </c>
      <c r="L560" s="13">
        <f t="shared" si="18"/>
        <v>4.1714588239589609</v>
      </c>
      <c r="M560" s="16">
        <f t="shared" si="19"/>
        <v>678.63636363636363</v>
      </c>
    </row>
    <row r="561" spans="1:13" x14ac:dyDescent="0.3">
      <c r="A561">
        <v>100559</v>
      </c>
      <c r="B561" t="s">
        <v>13</v>
      </c>
      <c r="C561" t="s">
        <v>20</v>
      </c>
      <c r="D561" t="s">
        <v>12</v>
      </c>
      <c r="E561" s="1">
        <v>45121</v>
      </c>
      <c r="F561" s="4">
        <v>19224</v>
      </c>
      <c r="G561" s="4">
        <v>768805</v>
      </c>
      <c r="H561" s="2">
        <v>4410</v>
      </c>
      <c r="I561" s="16">
        <v>20</v>
      </c>
      <c r="J561" s="1">
        <v>45141</v>
      </c>
      <c r="K561" s="3">
        <v>2.5000000000000001E-2</v>
      </c>
      <c r="L561" s="13">
        <f t="shared" si="18"/>
        <v>5.7361749728474711</v>
      </c>
      <c r="M561" s="16">
        <f t="shared" si="19"/>
        <v>961.2</v>
      </c>
    </row>
    <row r="562" spans="1:13" x14ac:dyDescent="0.3">
      <c r="A562">
        <v>100560</v>
      </c>
      <c r="B562" t="s">
        <v>18</v>
      </c>
      <c r="C562" t="s">
        <v>20</v>
      </c>
      <c r="D562" t="s">
        <v>12</v>
      </c>
      <c r="E562" s="1">
        <v>45122</v>
      </c>
      <c r="F562" s="4">
        <v>13967</v>
      </c>
      <c r="G562" s="4">
        <v>629165</v>
      </c>
      <c r="H562" s="2">
        <v>2362</v>
      </c>
      <c r="I562" s="16">
        <v>20</v>
      </c>
      <c r="J562" s="1">
        <v>45142</v>
      </c>
      <c r="K562" s="3">
        <v>2.2200000000000001E-2</v>
      </c>
      <c r="L562" s="13">
        <f t="shared" si="18"/>
        <v>3.7541821302837888</v>
      </c>
      <c r="M562" s="16">
        <f t="shared" si="19"/>
        <v>698.35</v>
      </c>
    </row>
    <row r="563" spans="1:13" x14ac:dyDescent="0.3">
      <c r="A563">
        <v>100561</v>
      </c>
      <c r="B563" t="s">
        <v>18</v>
      </c>
      <c r="C563" t="s">
        <v>16</v>
      </c>
      <c r="D563" t="s">
        <v>22</v>
      </c>
      <c r="E563" s="1">
        <v>45123</v>
      </c>
      <c r="F563" s="4">
        <v>52507</v>
      </c>
      <c r="G563" s="4">
        <v>140029</v>
      </c>
      <c r="H563" s="2">
        <v>1381</v>
      </c>
      <c r="I563" s="16">
        <v>14</v>
      </c>
      <c r="J563" s="1">
        <v>45137</v>
      </c>
      <c r="K563" s="3">
        <v>0.375</v>
      </c>
      <c r="L563" s="13">
        <f t="shared" si="18"/>
        <v>9.8622428211299091</v>
      </c>
      <c r="M563" s="16">
        <f t="shared" si="19"/>
        <v>3750.5</v>
      </c>
    </row>
    <row r="564" spans="1:13" x14ac:dyDescent="0.3">
      <c r="A564">
        <v>100562</v>
      </c>
      <c r="B564" t="s">
        <v>10</v>
      </c>
      <c r="C564" t="s">
        <v>16</v>
      </c>
      <c r="D564" t="s">
        <v>12</v>
      </c>
      <c r="E564" s="1">
        <v>45124</v>
      </c>
      <c r="F564" s="4">
        <v>23097</v>
      </c>
      <c r="G564" s="4">
        <v>463418</v>
      </c>
      <c r="H564" s="2">
        <v>3544</v>
      </c>
      <c r="I564" s="16">
        <v>20</v>
      </c>
      <c r="J564" s="1">
        <v>45144</v>
      </c>
      <c r="K564" s="3">
        <v>4.9799999999999997E-2</v>
      </c>
      <c r="L564" s="13">
        <f t="shared" si="18"/>
        <v>7.6475234021984475</v>
      </c>
      <c r="M564" s="16">
        <f t="shared" si="19"/>
        <v>1154.8499999999999</v>
      </c>
    </row>
    <row r="565" spans="1:13" x14ac:dyDescent="0.3">
      <c r="A565">
        <v>100563</v>
      </c>
      <c r="B565" t="s">
        <v>13</v>
      </c>
      <c r="C565" t="s">
        <v>20</v>
      </c>
      <c r="D565" t="s">
        <v>24</v>
      </c>
      <c r="E565" s="1">
        <v>45125</v>
      </c>
      <c r="F565" s="4">
        <v>24382</v>
      </c>
      <c r="G565" s="4">
        <v>813395</v>
      </c>
      <c r="H565" s="2">
        <v>1462</v>
      </c>
      <c r="I565" s="16">
        <v>11</v>
      </c>
      <c r="J565" s="1">
        <v>45136</v>
      </c>
      <c r="K565" s="3">
        <v>0.03</v>
      </c>
      <c r="L565" s="13">
        <f t="shared" si="18"/>
        <v>1.7974047049711395</v>
      </c>
      <c r="M565" s="16">
        <f t="shared" si="19"/>
        <v>2216.5454545454545</v>
      </c>
    </row>
    <row r="566" spans="1:13" x14ac:dyDescent="0.3">
      <c r="A566">
        <v>100564</v>
      </c>
      <c r="B566" t="s">
        <v>13</v>
      </c>
      <c r="C566" t="s">
        <v>25</v>
      </c>
      <c r="D566" t="s">
        <v>12</v>
      </c>
      <c r="E566" s="1">
        <v>45126</v>
      </c>
      <c r="F566" s="4">
        <v>85595</v>
      </c>
      <c r="G566" s="4">
        <v>680655</v>
      </c>
      <c r="H566" s="2">
        <v>1395</v>
      </c>
      <c r="I566" s="16">
        <v>15</v>
      </c>
      <c r="J566" s="1">
        <v>45141</v>
      </c>
      <c r="K566" s="3">
        <v>0.1258</v>
      </c>
      <c r="L566" s="13">
        <f t="shared" si="18"/>
        <v>2.0494964409282237</v>
      </c>
      <c r="M566" s="16">
        <f t="shared" si="19"/>
        <v>5706.333333333333</v>
      </c>
    </row>
    <row r="567" spans="1:13" x14ac:dyDescent="0.3">
      <c r="A567">
        <v>100565</v>
      </c>
      <c r="B567" t="s">
        <v>13</v>
      </c>
      <c r="C567" t="s">
        <v>11</v>
      </c>
      <c r="D567" t="s">
        <v>15</v>
      </c>
      <c r="E567" s="1">
        <v>45127</v>
      </c>
      <c r="F567" s="4">
        <v>26693</v>
      </c>
      <c r="G567" s="4">
        <v>88108</v>
      </c>
      <c r="H567" s="2">
        <v>3582</v>
      </c>
      <c r="I567" s="16">
        <v>9</v>
      </c>
      <c r="J567" s="1">
        <v>45136</v>
      </c>
      <c r="K567" s="3">
        <v>0.30299999999999999</v>
      </c>
      <c r="L567" s="13">
        <f t="shared" si="18"/>
        <v>40.65465111000136</v>
      </c>
      <c r="M567" s="16">
        <f t="shared" si="19"/>
        <v>2965.8888888888887</v>
      </c>
    </row>
    <row r="568" spans="1:13" x14ac:dyDescent="0.3">
      <c r="A568">
        <v>100566</v>
      </c>
      <c r="B568" t="s">
        <v>10</v>
      </c>
      <c r="C568" t="s">
        <v>23</v>
      </c>
      <c r="D568" t="s">
        <v>15</v>
      </c>
      <c r="E568" s="1">
        <v>45128</v>
      </c>
      <c r="F568" s="4">
        <v>95788</v>
      </c>
      <c r="G568" s="4">
        <v>158966</v>
      </c>
      <c r="H568" s="2">
        <v>4773</v>
      </c>
      <c r="I568" s="16">
        <v>2</v>
      </c>
      <c r="J568" s="1">
        <v>45130</v>
      </c>
      <c r="K568" s="3">
        <v>0.60260000000000002</v>
      </c>
      <c r="L568" s="13">
        <f t="shared" si="18"/>
        <v>30.025288426455973</v>
      </c>
      <c r="M568" s="16">
        <f t="shared" si="19"/>
        <v>47894</v>
      </c>
    </row>
    <row r="569" spans="1:13" x14ac:dyDescent="0.3">
      <c r="A569">
        <v>100567</v>
      </c>
      <c r="B569" t="s">
        <v>18</v>
      </c>
      <c r="C569" t="s">
        <v>14</v>
      </c>
      <c r="D569" t="s">
        <v>15</v>
      </c>
      <c r="E569" s="1">
        <v>45129</v>
      </c>
      <c r="F569" s="4">
        <v>45820</v>
      </c>
      <c r="G569" s="4">
        <v>91064</v>
      </c>
      <c r="H569" s="2">
        <v>2279</v>
      </c>
      <c r="I569" s="16">
        <v>23</v>
      </c>
      <c r="J569" s="1">
        <v>45152</v>
      </c>
      <c r="K569" s="3">
        <v>0.50319999999999998</v>
      </c>
      <c r="L569" s="13">
        <f t="shared" si="18"/>
        <v>25.026355090925062</v>
      </c>
      <c r="M569" s="16">
        <f t="shared" si="19"/>
        <v>1992.1739130434783</v>
      </c>
    </row>
    <row r="570" spans="1:13" x14ac:dyDescent="0.3">
      <c r="A570">
        <v>100568</v>
      </c>
      <c r="B570" t="s">
        <v>18</v>
      </c>
      <c r="C570" t="s">
        <v>23</v>
      </c>
      <c r="D570" t="s">
        <v>22</v>
      </c>
      <c r="E570" s="1">
        <v>45130</v>
      </c>
      <c r="F570" s="4">
        <v>41265</v>
      </c>
      <c r="G570" s="4">
        <v>895941</v>
      </c>
      <c r="H570" s="2">
        <v>3157</v>
      </c>
      <c r="I570" s="16">
        <v>21</v>
      </c>
      <c r="J570" s="1">
        <v>45151</v>
      </c>
      <c r="K570" s="3">
        <v>4.6100000000000002E-2</v>
      </c>
      <c r="L570" s="13">
        <f t="shared" si="18"/>
        <v>3.5236695273461089</v>
      </c>
      <c r="M570" s="16">
        <f t="shared" si="19"/>
        <v>1965</v>
      </c>
    </row>
    <row r="571" spans="1:13" x14ac:dyDescent="0.3">
      <c r="A571">
        <v>100569</v>
      </c>
      <c r="B571" t="s">
        <v>13</v>
      </c>
      <c r="C571" t="s">
        <v>14</v>
      </c>
      <c r="D571" t="s">
        <v>22</v>
      </c>
      <c r="E571" s="1">
        <v>45131</v>
      </c>
      <c r="F571" s="4">
        <v>51558</v>
      </c>
      <c r="G571" s="4">
        <v>191328</v>
      </c>
      <c r="H571" s="2">
        <v>169</v>
      </c>
      <c r="I571" s="16">
        <v>10</v>
      </c>
      <c r="J571" s="1">
        <v>45141</v>
      </c>
      <c r="K571" s="3">
        <v>0.26950000000000002</v>
      </c>
      <c r="L571" s="13">
        <f t="shared" si="18"/>
        <v>0.88329988292356576</v>
      </c>
      <c r="M571" s="16">
        <f t="shared" si="19"/>
        <v>5155.8</v>
      </c>
    </row>
    <row r="572" spans="1:13" x14ac:dyDescent="0.3">
      <c r="A572">
        <v>100570</v>
      </c>
      <c r="B572" t="s">
        <v>18</v>
      </c>
      <c r="C572" t="s">
        <v>16</v>
      </c>
      <c r="D572" t="s">
        <v>15</v>
      </c>
      <c r="E572" s="1">
        <v>45132</v>
      </c>
      <c r="F572" s="4">
        <v>17160</v>
      </c>
      <c r="G572" s="4">
        <v>547473</v>
      </c>
      <c r="H572" s="2">
        <v>3143</v>
      </c>
      <c r="I572" s="16">
        <v>8</v>
      </c>
      <c r="J572" s="1">
        <v>45140</v>
      </c>
      <c r="K572" s="3">
        <v>3.1300000000000001E-2</v>
      </c>
      <c r="L572" s="13">
        <f t="shared" si="18"/>
        <v>5.7409223833869438</v>
      </c>
      <c r="M572" s="16">
        <f t="shared" si="19"/>
        <v>2145</v>
      </c>
    </row>
    <row r="573" spans="1:13" x14ac:dyDescent="0.3">
      <c r="A573">
        <v>100571</v>
      </c>
      <c r="B573" t="s">
        <v>10</v>
      </c>
      <c r="C573" t="s">
        <v>16</v>
      </c>
      <c r="D573" t="s">
        <v>24</v>
      </c>
      <c r="E573" s="1">
        <v>45133</v>
      </c>
      <c r="F573" s="4">
        <v>64897</v>
      </c>
      <c r="G573" s="4">
        <v>420593</v>
      </c>
      <c r="H573" s="2">
        <v>542</v>
      </c>
      <c r="I573" s="16">
        <v>11</v>
      </c>
      <c r="J573" s="1">
        <v>45144</v>
      </c>
      <c r="K573" s="3">
        <v>0.15429999999999999</v>
      </c>
      <c r="L573" s="13">
        <f t="shared" si="18"/>
        <v>1.2886567299027802</v>
      </c>
      <c r="M573" s="16">
        <f t="shared" si="19"/>
        <v>5899.727272727273</v>
      </c>
    </row>
    <row r="574" spans="1:13" x14ac:dyDescent="0.3">
      <c r="A574">
        <v>100572</v>
      </c>
      <c r="B574" t="s">
        <v>13</v>
      </c>
      <c r="C574" t="s">
        <v>16</v>
      </c>
      <c r="D574" t="s">
        <v>12</v>
      </c>
      <c r="E574" s="1">
        <v>45134</v>
      </c>
      <c r="F574" s="4">
        <v>53108</v>
      </c>
      <c r="G574" s="4">
        <v>954736</v>
      </c>
      <c r="H574" s="2">
        <v>4018</v>
      </c>
      <c r="I574" s="16">
        <v>9</v>
      </c>
      <c r="J574" s="1">
        <v>45143</v>
      </c>
      <c r="K574" s="3">
        <v>5.5599999999999997E-2</v>
      </c>
      <c r="L574" s="13">
        <f t="shared" si="18"/>
        <v>4.2084932379212683</v>
      </c>
      <c r="M574" s="16">
        <f t="shared" si="19"/>
        <v>5900.8888888888887</v>
      </c>
    </row>
    <row r="575" spans="1:13" x14ac:dyDescent="0.3">
      <c r="A575">
        <v>100573</v>
      </c>
      <c r="B575" t="s">
        <v>10</v>
      </c>
      <c r="C575" t="s">
        <v>16</v>
      </c>
      <c r="D575" t="s">
        <v>24</v>
      </c>
      <c r="E575" s="1">
        <v>45135</v>
      </c>
      <c r="F575" s="4">
        <v>41427</v>
      </c>
      <c r="G575" s="4">
        <v>12771</v>
      </c>
      <c r="H575" s="2">
        <v>309</v>
      </c>
      <c r="I575" s="16">
        <v>2</v>
      </c>
      <c r="J575" s="1">
        <v>45137</v>
      </c>
      <c r="K575" s="3">
        <v>3.2437999999999998</v>
      </c>
      <c r="L575" s="13">
        <f t="shared" si="18"/>
        <v>24.195442800093964</v>
      </c>
      <c r="M575" s="16">
        <f t="shared" si="19"/>
        <v>20713.5</v>
      </c>
    </row>
    <row r="576" spans="1:13" x14ac:dyDescent="0.3">
      <c r="A576">
        <v>100574</v>
      </c>
      <c r="B576" t="s">
        <v>10</v>
      </c>
      <c r="C576" t="s">
        <v>11</v>
      </c>
      <c r="D576" t="s">
        <v>15</v>
      </c>
      <c r="E576" s="1">
        <v>45136</v>
      </c>
      <c r="F576" s="4">
        <v>27217</v>
      </c>
      <c r="G576" s="4">
        <v>619080</v>
      </c>
      <c r="H576" s="2">
        <v>4246</v>
      </c>
      <c r="I576" s="16">
        <v>12</v>
      </c>
      <c r="J576" s="1">
        <v>45148</v>
      </c>
      <c r="K576" s="3">
        <v>4.3999999999999997E-2</v>
      </c>
      <c r="L576" s="13">
        <f t="shared" si="18"/>
        <v>6.8585643212508884</v>
      </c>
      <c r="M576" s="16">
        <f t="shared" si="19"/>
        <v>2268.0833333333335</v>
      </c>
    </row>
    <row r="577" spans="1:13" x14ac:dyDescent="0.3">
      <c r="A577">
        <v>100575</v>
      </c>
      <c r="B577" t="s">
        <v>13</v>
      </c>
      <c r="C577" t="s">
        <v>14</v>
      </c>
      <c r="D577" t="s">
        <v>24</v>
      </c>
      <c r="E577" s="1">
        <v>45137</v>
      </c>
      <c r="F577" s="4">
        <v>84439</v>
      </c>
      <c r="G577" s="4">
        <v>446995</v>
      </c>
      <c r="H577" s="2">
        <v>2537</v>
      </c>
      <c r="I577" s="16">
        <v>16</v>
      </c>
      <c r="J577" s="1">
        <v>45153</v>
      </c>
      <c r="K577" s="3">
        <v>0.18890000000000001</v>
      </c>
      <c r="L577" s="13">
        <f t="shared" si="18"/>
        <v>5.6756786988668777</v>
      </c>
      <c r="M577" s="16">
        <f t="shared" si="19"/>
        <v>5277.4375</v>
      </c>
    </row>
    <row r="578" spans="1:13" x14ac:dyDescent="0.3">
      <c r="A578">
        <v>100576</v>
      </c>
      <c r="B578" t="s">
        <v>19</v>
      </c>
      <c r="C578" t="s">
        <v>20</v>
      </c>
      <c r="D578" t="s">
        <v>15</v>
      </c>
      <c r="E578" s="1">
        <v>45138</v>
      </c>
      <c r="F578" s="4">
        <v>13904</v>
      </c>
      <c r="G578" s="4">
        <v>383373</v>
      </c>
      <c r="H578" s="2">
        <v>1666</v>
      </c>
      <c r="I578" s="16">
        <v>13</v>
      </c>
      <c r="J578" s="1">
        <v>45151</v>
      </c>
      <c r="K578" s="3">
        <v>3.6299999999999999E-2</v>
      </c>
      <c r="L578" s="13">
        <f t="shared" ref="L578:L641" si="20">H578/G578*1000</f>
        <v>4.3456372775338901</v>
      </c>
      <c r="M578" s="16">
        <f t="shared" ref="M578:M641" si="21">IFERROR(F578/I578,"No Data")</f>
        <v>1069.5384615384614</v>
      </c>
    </row>
    <row r="579" spans="1:13" x14ac:dyDescent="0.3">
      <c r="A579">
        <v>100577</v>
      </c>
      <c r="B579" t="s">
        <v>13</v>
      </c>
      <c r="C579" t="s">
        <v>11</v>
      </c>
      <c r="D579" t="s">
        <v>12</v>
      </c>
      <c r="E579" s="1">
        <v>45139</v>
      </c>
      <c r="F579" s="4">
        <v>153</v>
      </c>
      <c r="G579" s="4">
        <v>506457</v>
      </c>
      <c r="H579" s="2">
        <v>1048</v>
      </c>
      <c r="I579" s="16">
        <v>3</v>
      </c>
      <c r="J579" s="1">
        <v>45142</v>
      </c>
      <c r="K579" s="3">
        <v>2.9999999999999997E-4</v>
      </c>
      <c r="L579" s="13">
        <f t="shared" si="20"/>
        <v>2.0692773522727497</v>
      </c>
      <c r="M579" s="16">
        <f t="shared" si="21"/>
        <v>51</v>
      </c>
    </row>
    <row r="580" spans="1:13" x14ac:dyDescent="0.3">
      <c r="A580">
        <v>100578</v>
      </c>
      <c r="B580" t="s">
        <v>10</v>
      </c>
      <c r="C580" t="s">
        <v>20</v>
      </c>
      <c r="D580" t="s">
        <v>22</v>
      </c>
      <c r="E580" s="1">
        <v>45140</v>
      </c>
      <c r="F580" s="4">
        <v>74783</v>
      </c>
      <c r="G580" s="4">
        <v>561448</v>
      </c>
      <c r="H580" s="2">
        <v>24</v>
      </c>
      <c r="I580" s="16">
        <v>12</v>
      </c>
      <c r="J580" s="1">
        <v>45152</v>
      </c>
      <c r="K580" s="3">
        <v>0.13320000000000001</v>
      </c>
      <c r="L580" s="13">
        <f t="shared" si="20"/>
        <v>4.2746612330972773E-2</v>
      </c>
      <c r="M580" s="16">
        <f t="shared" si="21"/>
        <v>6231.916666666667</v>
      </c>
    </row>
    <row r="581" spans="1:13" x14ac:dyDescent="0.3">
      <c r="A581">
        <v>100579</v>
      </c>
      <c r="B581" t="s">
        <v>18</v>
      </c>
      <c r="C581" t="s">
        <v>11</v>
      </c>
      <c r="D581" t="s">
        <v>17</v>
      </c>
      <c r="E581" s="1">
        <v>45141</v>
      </c>
      <c r="F581" s="4">
        <v>22924</v>
      </c>
      <c r="G581" s="4">
        <v>24419</v>
      </c>
      <c r="H581" s="2">
        <v>2149</v>
      </c>
      <c r="I581" s="16">
        <v>3</v>
      </c>
      <c r="J581" s="1">
        <v>45144</v>
      </c>
      <c r="K581" s="3">
        <v>0.93879999999999997</v>
      </c>
      <c r="L581" s="13">
        <f t="shared" si="20"/>
        <v>88.005241819894351</v>
      </c>
      <c r="M581" s="16">
        <f t="shared" si="21"/>
        <v>7641.333333333333</v>
      </c>
    </row>
    <row r="582" spans="1:13" x14ac:dyDescent="0.3">
      <c r="A582">
        <v>100580</v>
      </c>
      <c r="B582" t="s">
        <v>13</v>
      </c>
      <c r="C582" t="s">
        <v>11</v>
      </c>
      <c r="D582" t="s">
        <v>17</v>
      </c>
      <c r="E582" s="1">
        <v>45142</v>
      </c>
      <c r="F582" s="4">
        <v>53892</v>
      </c>
      <c r="G582" s="4">
        <v>202663</v>
      </c>
      <c r="H582" s="2">
        <v>3332</v>
      </c>
      <c r="I582" s="16">
        <v>2</v>
      </c>
      <c r="J582" s="1">
        <v>45144</v>
      </c>
      <c r="K582" s="3">
        <v>0.26590000000000003</v>
      </c>
      <c r="L582" s="13">
        <f t="shared" si="20"/>
        <v>16.441086927559542</v>
      </c>
      <c r="M582" s="16">
        <f t="shared" si="21"/>
        <v>26946</v>
      </c>
    </row>
    <row r="583" spans="1:13" x14ac:dyDescent="0.3">
      <c r="A583">
        <v>100581</v>
      </c>
      <c r="B583" t="s">
        <v>13</v>
      </c>
      <c r="C583" t="s">
        <v>23</v>
      </c>
      <c r="D583" t="s">
        <v>24</v>
      </c>
      <c r="E583" s="1">
        <v>45143</v>
      </c>
      <c r="F583" s="4">
        <v>73336</v>
      </c>
      <c r="G583" s="4">
        <v>209720</v>
      </c>
      <c r="H583" s="2">
        <v>207</v>
      </c>
      <c r="I583" s="16">
        <v>12</v>
      </c>
      <c r="J583" s="1">
        <v>45155</v>
      </c>
      <c r="K583" s="3">
        <v>0.34970000000000001</v>
      </c>
      <c r="L583" s="13">
        <f t="shared" si="20"/>
        <v>0.9870303261491512</v>
      </c>
      <c r="M583" s="16">
        <f t="shared" si="21"/>
        <v>6111.333333333333</v>
      </c>
    </row>
    <row r="584" spans="1:13" x14ac:dyDescent="0.3">
      <c r="A584">
        <v>100582</v>
      </c>
      <c r="B584" t="s">
        <v>18</v>
      </c>
      <c r="C584" t="s">
        <v>23</v>
      </c>
      <c r="D584" t="s">
        <v>22</v>
      </c>
      <c r="E584" s="1">
        <v>45144</v>
      </c>
      <c r="F584" s="4">
        <v>4657</v>
      </c>
      <c r="G584" s="4">
        <v>422505</v>
      </c>
      <c r="H584" s="2">
        <v>1291</v>
      </c>
      <c r="I584" s="16">
        <v>26</v>
      </c>
      <c r="J584" s="1">
        <v>45170</v>
      </c>
      <c r="K584" s="3">
        <v>1.0999999999999999E-2</v>
      </c>
      <c r="L584" s="13">
        <f t="shared" si="20"/>
        <v>3.0555851410042485</v>
      </c>
      <c r="M584" s="16">
        <f t="shared" si="21"/>
        <v>179.11538461538461</v>
      </c>
    </row>
    <row r="585" spans="1:13" x14ac:dyDescent="0.3">
      <c r="A585">
        <v>100583</v>
      </c>
      <c r="B585" t="s">
        <v>18</v>
      </c>
      <c r="C585" t="s">
        <v>16</v>
      </c>
      <c r="D585" t="s">
        <v>24</v>
      </c>
      <c r="E585" s="1">
        <v>45145</v>
      </c>
      <c r="F585" s="4">
        <v>47711</v>
      </c>
      <c r="G585" s="4">
        <v>841745</v>
      </c>
      <c r="H585" s="2">
        <v>4000</v>
      </c>
      <c r="I585" s="16">
        <v>29</v>
      </c>
      <c r="J585" s="1">
        <v>45174</v>
      </c>
      <c r="K585" s="3">
        <v>5.67E-2</v>
      </c>
      <c r="L585" s="13">
        <f t="shared" si="20"/>
        <v>4.7520329791088756</v>
      </c>
      <c r="M585" s="16">
        <f t="shared" si="21"/>
        <v>1645.2068965517242</v>
      </c>
    </row>
    <row r="586" spans="1:13" x14ac:dyDescent="0.3">
      <c r="A586">
        <v>100584</v>
      </c>
      <c r="B586" t="s">
        <v>19</v>
      </c>
      <c r="C586" t="s">
        <v>14</v>
      </c>
      <c r="D586" t="s">
        <v>24</v>
      </c>
      <c r="E586" s="1">
        <v>45146</v>
      </c>
      <c r="F586" s="4">
        <v>70975</v>
      </c>
      <c r="G586" s="4">
        <v>217743</v>
      </c>
      <c r="H586" s="2">
        <v>1291</v>
      </c>
      <c r="I586" s="16">
        <v>29</v>
      </c>
      <c r="J586" s="1">
        <v>45175</v>
      </c>
      <c r="K586" s="3">
        <v>0.32600000000000001</v>
      </c>
      <c r="L586" s="13">
        <f t="shared" si="20"/>
        <v>5.9290080507754555</v>
      </c>
      <c r="M586" s="16">
        <f t="shared" si="21"/>
        <v>2447.4137931034484</v>
      </c>
    </row>
    <row r="587" spans="1:13" x14ac:dyDescent="0.3">
      <c r="A587">
        <v>100585</v>
      </c>
      <c r="B587" t="s">
        <v>13</v>
      </c>
      <c r="C587" t="s">
        <v>23</v>
      </c>
      <c r="D587" t="s">
        <v>15</v>
      </c>
      <c r="E587" s="1">
        <v>45147</v>
      </c>
      <c r="F587" s="4">
        <v>65944</v>
      </c>
      <c r="G587" s="4">
        <v>306650</v>
      </c>
      <c r="H587" s="2">
        <v>4502</v>
      </c>
      <c r="I587" s="16">
        <v>19</v>
      </c>
      <c r="J587" s="1">
        <v>45166</v>
      </c>
      <c r="K587" s="3">
        <v>0.215</v>
      </c>
      <c r="L587" s="13">
        <f t="shared" si="20"/>
        <v>14.681232675688896</v>
      </c>
      <c r="M587" s="16">
        <f t="shared" si="21"/>
        <v>3470.7368421052633</v>
      </c>
    </row>
    <row r="588" spans="1:13" x14ac:dyDescent="0.3">
      <c r="A588">
        <v>100586</v>
      </c>
      <c r="B588" t="s">
        <v>18</v>
      </c>
      <c r="C588" t="s">
        <v>14</v>
      </c>
      <c r="D588" t="s">
        <v>15</v>
      </c>
      <c r="E588" s="1">
        <v>45148</v>
      </c>
      <c r="F588" s="4">
        <v>13536</v>
      </c>
      <c r="G588" s="4">
        <v>756349</v>
      </c>
      <c r="H588" s="2">
        <v>4045</v>
      </c>
      <c r="I588" s="16">
        <v>8</v>
      </c>
      <c r="J588" s="1">
        <v>45156</v>
      </c>
      <c r="K588" s="3">
        <v>1.7899999999999999E-2</v>
      </c>
      <c r="L588" s="13">
        <f t="shared" si="20"/>
        <v>5.3480602208768708</v>
      </c>
      <c r="M588" s="16">
        <f t="shared" si="21"/>
        <v>1692</v>
      </c>
    </row>
    <row r="589" spans="1:13" x14ac:dyDescent="0.3">
      <c r="A589">
        <v>100587</v>
      </c>
      <c r="B589" t="s">
        <v>18</v>
      </c>
      <c r="C589" t="s">
        <v>25</v>
      </c>
      <c r="D589" t="s">
        <v>12</v>
      </c>
      <c r="E589" s="1">
        <v>45149</v>
      </c>
      <c r="F589" s="4">
        <v>33537</v>
      </c>
      <c r="G589" s="4">
        <v>351361</v>
      </c>
      <c r="H589" s="2">
        <v>2894</v>
      </c>
      <c r="I589" s="16">
        <v>19</v>
      </c>
      <c r="J589" s="1">
        <v>45168</v>
      </c>
      <c r="K589" s="3">
        <v>9.5399999999999999E-2</v>
      </c>
      <c r="L589" s="13">
        <f t="shared" si="20"/>
        <v>8.2365430426256765</v>
      </c>
      <c r="M589" s="16">
        <f t="shared" si="21"/>
        <v>1765.1052631578948</v>
      </c>
    </row>
    <row r="590" spans="1:13" x14ac:dyDescent="0.3">
      <c r="A590">
        <v>100588</v>
      </c>
      <c r="B590" t="s">
        <v>18</v>
      </c>
      <c r="C590" t="s">
        <v>16</v>
      </c>
      <c r="D590" t="s">
        <v>15</v>
      </c>
      <c r="E590" s="1">
        <v>45150</v>
      </c>
      <c r="F590" s="4">
        <v>42417</v>
      </c>
      <c r="G590" s="4">
        <v>593222</v>
      </c>
      <c r="H590" s="2">
        <v>854</v>
      </c>
      <c r="I590" s="16">
        <v>16</v>
      </c>
      <c r="J590" s="1">
        <v>45166</v>
      </c>
      <c r="K590" s="3">
        <v>7.1499999999999994E-2</v>
      </c>
      <c r="L590" s="13">
        <f t="shared" si="20"/>
        <v>1.4395959691312863</v>
      </c>
      <c r="M590" s="16">
        <f t="shared" si="21"/>
        <v>2651.0625</v>
      </c>
    </row>
    <row r="591" spans="1:13" x14ac:dyDescent="0.3">
      <c r="A591">
        <v>100589</v>
      </c>
      <c r="B591" t="s">
        <v>18</v>
      </c>
      <c r="C591" t="s">
        <v>23</v>
      </c>
      <c r="D591" t="s">
        <v>12</v>
      </c>
      <c r="E591" s="1">
        <v>45151</v>
      </c>
      <c r="F591" s="4">
        <v>49724</v>
      </c>
      <c r="G591" s="4">
        <v>369358</v>
      </c>
      <c r="H591" s="2">
        <v>2114</v>
      </c>
      <c r="I591" s="16">
        <v>27</v>
      </c>
      <c r="J591" s="1">
        <v>45178</v>
      </c>
      <c r="K591" s="3">
        <v>0.1346</v>
      </c>
      <c r="L591" s="13">
        <f t="shared" si="20"/>
        <v>5.7234444630954249</v>
      </c>
      <c r="M591" s="16">
        <f t="shared" si="21"/>
        <v>1841.6296296296296</v>
      </c>
    </row>
    <row r="592" spans="1:13" x14ac:dyDescent="0.3">
      <c r="A592">
        <v>100590</v>
      </c>
      <c r="B592" t="s">
        <v>19</v>
      </c>
      <c r="C592" t="s">
        <v>16</v>
      </c>
      <c r="D592" t="s">
        <v>12</v>
      </c>
      <c r="E592" s="1">
        <v>45152</v>
      </c>
      <c r="F592" s="4">
        <v>59468</v>
      </c>
      <c r="G592" s="4">
        <v>909729</v>
      </c>
      <c r="H592" s="2">
        <v>1121</v>
      </c>
      <c r="I592" s="16">
        <v>21</v>
      </c>
      <c r="J592" s="1">
        <v>45173</v>
      </c>
      <c r="K592" s="3">
        <v>6.54E-2</v>
      </c>
      <c r="L592" s="13">
        <f t="shared" si="20"/>
        <v>1.2322350941873899</v>
      </c>
      <c r="M592" s="16">
        <f t="shared" si="21"/>
        <v>2831.8095238095239</v>
      </c>
    </row>
    <row r="593" spans="1:13" x14ac:dyDescent="0.3">
      <c r="A593">
        <v>100591</v>
      </c>
      <c r="B593" t="s">
        <v>13</v>
      </c>
      <c r="C593" t="s">
        <v>11</v>
      </c>
      <c r="D593" t="s">
        <v>22</v>
      </c>
      <c r="E593" s="1">
        <v>45153</v>
      </c>
      <c r="F593" s="4">
        <v>91513</v>
      </c>
      <c r="G593" s="4">
        <v>881012</v>
      </c>
      <c r="H593" s="2">
        <v>3435</v>
      </c>
      <c r="I593" s="16">
        <v>6</v>
      </c>
      <c r="J593" s="1">
        <v>45159</v>
      </c>
      <c r="K593" s="3">
        <v>0.10390000000000001</v>
      </c>
      <c r="L593" s="13">
        <f t="shared" si="20"/>
        <v>3.8989253267832904</v>
      </c>
      <c r="M593" s="16">
        <f t="shared" si="21"/>
        <v>15252.166666666666</v>
      </c>
    </row>
    <row r="594" spans="1:13" x14ac:dyDescent="0.3">
      <c r="A594">
        <v>100592</v>
      </c>
      <c r="B594" t="s">
        <v>18</v>
      </c>
      <c r="C594" t="s">
        <v>21</v>
      </c>
      <c r="D594" t="s">
        <v>22</v>
      </c>
      <c r="E594" s="1">
        <v>45154</v>
      </c>
      <c r="F594" s="4">
        <v>7211</v>
      </c>
      <c r="G594" s="4">
        <v>322915</v>
      </c>
      <c r="H594" s="2">
        <v>4637</v>
      </c>
      <c r="I594" s="16">
        <v>24</v>
      </c>
      <c r="J594" s="1">
        <v>45178</v>
      </c>
      <c r="K594" s="3">
        <v>2.23E-2</v>
      </c>
      <c r="L594" s="13">
        <f t="shared" si="20"/>
        <v>14.359816050663486</v>
      </c>
      <c r="M594" s="16">
        <f t="shared" si="21"/>
        <v>300.45833333333331</v>
      </c>
    </row>
    <row r="595" spans="1:13" x14ac:dyDescent="0.3">
      <c r="A595">
        <v>100593</v>
      </c>
      <c r="B595" t="s">
        <v>13</v>
      </c>
      <c r="C595" t="s">
        <v>16</v>
      </c>
      <c r="D595" t="s">
        <v>15</v>
      </c>
      <c r="E595" s="1">
        <v>45155</v>
      </c>
      <c r="F595" s="4">
        <v>38968</v>
      </c>
      <c r="G595" s="4">
        <v>571747</v>
      </c>
      <c r="H595" s="2">
        <v>2641</v>
      </c>
      <c r="I595" s="16">
        <v>7</v>
      </c>
      <c r="J595" s="1">
        <v>45162</v>
      </c>
      <c r="K595" s="3">
        <v>6.8199999999999997E-2</v>
      </c>
      <c r="L595" s="13">
        <f t="shared" si="20"/>
        <v>4.6191759641939525</v>
      </c>
      <c r="M595" s="16">
        <f t="shared" si="21"/>
        <v>5566.8571428571431</v>
      </c>
    </row>
    <row r="596" spans="1:13" x14ac:dyDescent="0.3">
      <c r="A596">
        <v>100594</v>
      </c>
      <c r="B596" t="s">
        <v>18</v>
      </c>
      <c r="C596" t="s">
        <v>21</v>
      </c>
      <c r="D596" t="s">
        <v>22</v>
      </c>
      <c r="E596" s="1">
        <v>45156</v>
      </c>
      <c r="F596" s="4">
        <v>16378</v>
      </c>
      <c r="G596" s="4">
        <v>710558</v>
      </c>
      <c r="H596" s="2">
        <v>960</v>
      </c>
      <c r="I596" s="16">
        <v>26</v>
      </c>
      <c r="J596" s="1">
        <v>45182</v>
      </c>
      <c r="K596" s="3">
        <v>2.3E-2</v>
      </c>
      <c r="L596" s="13">
        <f t="shared" si="20"/>
        <v>1.3510508642503498</v>
      </c>
      <c r="M596" s="16">
        <f t="shared" si="21"/>
        <v>629.92307692307691</v>
      </c>
    </row>
    <row r="597" spans="1:13" x14ac:dyDescent="0.3">
      <c r="A597">
        <v>100595</v>
      </c>
      <c r="B597" t="s">
        <v>18</v>
      </c>
      <c r="C597" t="s">
        <v>16</v>
      </c>
      <c r="D597" t="s">
        <v>15</v>
      </c>
      <c r="E597" s="1">
        <v>45157</v>
      </c>
      <c r="F597" s="4">
        <v>26266</v>
      </c>
      <c r="G597" s="4">
        <v>276461</v>
      </c>
      <c r="H597" s="2">
        <v>459</v>
      </c>
      <c r="I597" s="16">
        <v>22</v>
      </c>
      <c r="J597" s="1">
        <v>45179</v>
      </c>
      <c r="K597" s="3">
        <v>9.5000000000000001E-2</v>
      </c>
      <c r="L597" s="13">
        <f t="shared" si="20"/>
        <v>1.6602703455460264</v>
      </c>
      <c r="M597" s="16">
        <f t="shared" si="21"/>
        <v>1193.909090909091</v>
      </c>
    </row>
    <row r="598" spans="1:13" x14ac:dyDescent="0.3">
      <c r="A598">
        <v>100596</v>
      </c>
      <c r="B598" t="s">
        <v>10</v>
      </c>
      <c r="C598" t="s">
        <v>21</v>
      </c>
      <c r="D598" t="s">
        <v>12</v>
      </c>
      <c r="E598" s="1">
        <v>45158</v>
      </c>
      <c r="F598" s="4">
        <v>77518</v>
      </c>
      <c r="G598" s="4">
        <v>116965</v>
      </c>
      <c r="H598" s="2">
        <v>3710</v>
      </c>
      <c r="I598" s="16">
        <v>7</v>
      </c>
      <c r="J598" s="1">
        <v>45165</v>
      </c>
      <c r="K598" s="3">
        <v>0.66269999999999996</v>
      </c>
      <c r="L598" s="13">
        <f t="shared" si="20"/>
        <v>31.718890266318986</v>
      </c>
      <c r="M598" s="16">
        <f t="shared" si="21"/>
        <v>11074</v>
      </c>
    </row>
    <row r="599" spans="1:13" x14ac:dyDescent="0.3">
      <c r="A599">
        <v>100597</v>
      </c>
      <c r="B599" t="s">
        <v>13</v>
      </c>
      <c r="C599" t="s">
        <v>20</v>
      </c>
      <c r="D599" t="s">
        <v>12</v>
      </c>
      <c r="E599" s="1">
        <v>45159</v>
      </c>
      <c r="F599" s="4">
        <v>1668</v>
      </c>
      <c r="G599" s="4">
        <v>651616</v>
      </c>
      <c r="H599" s="2">
        <v>196</v>
      </c>
      <c r="I599" s="16">
        <v>12</v>
      </c>
      <c r="J599" s="1">
        <v>45171</v>
      </c>
      <c r="K599" s="3">
        <v>2.5999999999999999E-3</v>
      </c>
      <c r="L599" s="13">
        <f t="shared" si="20"/>
        <v>0.30079064970780334</v>
      </c>
      <c r="M599" s="16">
        <f t="shared" si="21"/>
        <v>139</v>
      </c>
    </row>
    <row r="600" spans="1:13" x14ac:dyDescent="0.3">
      <c r="A600">
        <v>100598</v>
      </c>
      <c r="B600" t="s">
        <v>19</v>
      </c>
      <c r="C600" t="s">
        <v>14</v>
      </c>
      <c r="D600" t="s">
        <v>17</v>
      </c>
      <c r="E600" s="1">
        <v>45160</v>
      </c>
      <c r="F600" s="4">
        <v>49058</v>
      </c>
      <c r="G600" s="4">
        <v>480171</v>
      </c>
      <c r="H600" s="2">
        <v>4272</v>
      </c>
      <c r="I600" s="16">
        <v>20</v>
      </c>
      <c r="J600" s="1">
        <v>45180</v>
      </c>
      <c r="K600" s="3">
        <v>0.1022</v>
      </c>
      <c r="L600" s="13">
        <f t="shared" si="20"/>
        <v>8.8968305041329039</v>
      </c>
      <c r="M600" s="16">
        <f t="shared" si="21"/>
        <v>2452.9</v>
      </c>
    </row>
    <row r="601" spans="1:13" x14ac:dyDescent="0.3">
      <c r="A601">
        <v>100599</v>
      </c>
      <c r="B601" t="s">
        <v>13</v>
      </c>
      <c r="C601" t="s">
        <v>25</v>
      </c>
      <c r="D601" t="s">
        <v>15</v>
      </c>
      <c r="E601" s="1">
        <v>45161</v>
      </c>
      <c r="F601" s="4">
        <v>93067</v>
      </c>
      <c r="G601" s="4">
        <v>113157</v>
      </c>
      <c r="H601" s="2">
        <v>4773</v>
      </c>
      <c r="I601" s="16">
        <v>3</v>
      </c>
      <c r="J601" s="1">
        <v>45164</v>
      </c>
      <c r="K601" s="3">
        <v>0.82250000000000001</v>
      </c>
      <c r="L601" s="13">
        <f t="shared" si="20"/>
        <v>42.180333518916193</v>
      </c>
      <c r="M601" s="16">
        <f t="shared" si="21"/>
        <v>31022.333333333332</v>
      </c>
    </row>
    <row r="602" spans="1:13" x14ac:dyDescent="0.3">
      <c r="A602">
        <v>100600</v>
      </c>
      <c r="B602" t="s">
        <v>13</v>
      </c>
      <c r="C602" t="s">
        <v>20</v>
      </c>
      <c r="D602" t="s">
        <v>17</v>
      </c>
      <c r="E602" s="1">
        <v>45162</v>
      </c>
      <c r="F602" s="4">
        <v>21385</v>
      </c>
      <c r="G602" s="4">
        <v>322673</v>
      </c>
      <c r="H602" s="2">
        <v>1058</v>
      </c>
      <c r="I602" s="16">
        <v>23</v>
      </c>
      <c r="J602" s="1">
        <v>45185</v>
      </c>
      <c r="K602" s="3">
        <v>6.6299999999999998E-2</v>
      </c>
      <c r="L602" s="13">
        <f t="shared" si="20"/>
        <v>3.2788612620206834</v>
      </c>
      <c r="M602" s="16">
        <f t="shared" si="21"/>
        <v>929.78260869565213</v>
      </c>
    </row>
    <row r="603" spans="1:13" x14ac:dyDescent="0.3">
      <c r="A603">
        <v>100601</v>
      </c>
      <c r="B603" t="s">
        <v>10</v>
      </c>
      <c r="C603" t="s">
        <v>16</v>
      </c>
      <c r="D603" t="s">
        <v>12</v>
      </c>
      <c r="E603" s="1">
        <v>45163</v>
      </c>
      <c r="F603" s="4">
        <v>22603</v>
      </c>
      <c r="G603" s="4">
        <v>205940</v>
      </c>
      <c r="H603" s="2">
        <v>372</v>
      </c>
      <c r="I603" s="16">
        <v>29</v>
      </c>
      <c r="J603" s="1">
        <v>45192</v>
      </c>
      <c r="K603" s="3">
        <v>0.10979999999999999</v>
      </c>
      <c r="L603" s="13">
        <f t="shared" si="20"/>
        <v>1.8063513644750897</v>
      </c>
      <c r="M603" s="16">
        <f t="shared" si="21"/>
        <v>779.41379310344826</v>
      </c>
    </row>
    <row r="604" spans="1:13" x14ac:dyDescent="0.3">
      <c r="A604">
        <v>100602</v>
      </c>
      <c r="B604" t="s">
        <v>19</v>
      </c>
      <c r="C604" t="s">
        <v>25</v>
      </c>
      <c r="D604" t="s">
        <v>15</v>
      </c>
      <c r="E604" s="1">
        <v>45164</v>
      </c>
      <c r="F604" s="4">
        <v>62189</v>
      </c>
      <c r="G604" s="4">
        <v>950443</v>
      </c>
      <c r="H604" s="2">
        <v>2657</v>
      </c>
      <c r="I604" s="16">
        <v>24</v>
      </c>
      <c r="J604" s="1">
        <v>45188</v>
      </c>
      <c r="K604" s="3">
        <v>6.54E-2</v>
      </c>
      <c r="L604" s="13">
        <f t="shared" si="20"/>
        <v>2.7955385015198178</v>
      </c>
      <c r="M604" s="16">
        <f t="shared" si="21"/>
        <v>2591.2083333333335</v>
      </c>
    </row>
    <row r="605" spans="1:13" x14ac:dyDescent="0.3">
      <c r="A605">
        <v>100603</v>
      </c>
      <c r="B605" t="s">
        <v>10</v>
      </c>
      <c r="C605" t="s">
        <v>14</v>
      </c>
      <c r="D605" t="s">
        <v>12</v>
      </c>
      <c r="E605" s="1">
        <v>45165</v>
      </c>
      <c r="F605" s="4">
        <v>81546</v>
      </c>
      <c r="G605" s="4">
        <v>60051</v>
      </c>
      <c r="H605" s="2">
        <v>4959</v>
      </c>
      <c r="I605" s="16">
        <v>2</v>
      </c>
      <c r="J605" s="1">
        <v>45167</v>
      </c>
      <c r="K605" s="3">
        <v>1.3579000000000001</v>
      </c>
      <c r="L605" s="13">
        <f t="shared" si="20"/>
        <v>82.579807163910687</v>
      </c>
      <c r="M605" s="16">
        <f t="shared" si="21"/>
        <v>40773</v>
      </c>
    </row>
    <row r="606" spans="1:13" x14ac:dyDescent="0.3">
      <c r="A606">
        <v>100604</v>
      </c>
      <c r="B606" t="s">
        <v>19</v>
      </c>
      <c r="C606" t="s">
        <v>23</v>
      </c>
      <c r="D606" t="s">
        <v>12</v>
      </c>
      <c r="E606" s="1">
        <v>45166</v>
      </c>
      <c r="F606" s="4">
        <v>91088</v>
      </c>
      <c r="G606" s="4">
        <v>801725</v>
      </c>
      <c r="H606" s="2">
        <v>1527</v>
      </c>
      <c r="I606" s="16">
        <v>1</v>
      </c>
      <c r="J606" s="1">
        <v>45167</v>
      </c>
      <c r="K606" s="3">
        <v>0.11360000000000001</v>
      </c>
      <c r="L606" s="13">
        <f t="shared" si="20"/>
        <v>1.904643113286975</v>
      </c>
      <c r="M606" s="16">
        <f t="shared" si="21"/>
        <v>91088</v>
      </c>
    </row>
    <row r="607" spans="1:13" x14ac:dyDescent="0.3">
      <c r="A607">
        <v>100605</v>
      </c>
      <c r="B607" t="s">
        <v>10</v>
      </c>
      <c r="C607" t="s">
        <v>11</v>
      </c>
      <c r="D607" t="s">
        <v>17</v>
      </c>
      <c r="E607" s="1">
        <v>45167</v>
      </c>
      <c r="F607" s="4">
        <v>47421</v>
      </c>
      <c r="G607" s="4">
        <v>744351</v>
      </c>
      <c r="H607" s="2">
        <v>1354</v>
      </c>
      <c r="I607" s="16">
        <v>25</v>
      </c>
      <c r="J607" s="1">
        <v>45192</v>
      </c>
      <c r="K607" s="3">
        <v>6.3700000000000007E-2</v>
      </c>
      <c r="L607" s="13">
        <f t="shared" si="20"/>
        <v>1.8190342996785118</v>
      </c>
      <c r="M607" s="16">
        <f t="shared" si="21"/>
        <v>1896.84</v>
      </c>
    </row>
    <row r="608" spans="1:13" x14ac:dyDescent="0.3">
      <c r="A608">
        <v>100606</v>
      </c>
      <c r="B608" t="s">
        <v>10</v>
      </c>
      <c r="C608" t="s">
        <v>21</v>
      </c>
      <c r="D608" t="s">
        <v>24</v>
      </c>
      <c r="E608" s="1">
        <v>45168</v>
      </c>
      <c r="F608" s="4">
        <v>88221</v>
      </c>
      <c r="G608" s="4">
        <v>13647</v>
      </c>
      <c r="H608" s="2">
        <v>4597</v>
      </c>
      <c r="I608" s="16">
        <v>23</v>
      </c>
      <c r="J608" s="1">
        <v>45191</v>
      </c>
      <c r="K608" s="3">
        <v>6.4645000000000001</v>
      </c>
      <c r="L608" s="13">
        <f t="shared" si="20"/>
        <v>336.8505898732322</v>
      </c>
      <c r="M608" s="16">
        <f t="shared" si="21"/>
        <v>3835.695652173913</v>
      </c>
    </row>
    <row r="609" spans="1:13" x14ac:dyDescent="0.3">
      <c r="A609">
        <v>100607</v>
      </c>
      <c r="B609" t="s">
        <v>18</v>
      </c>
      <c r="C609" t="s">
        <v>16</v>
      </c>
      <c r="D609" t="s">
        <v>15</v>
      </c>
      <c r="E609" s="1">
        <v>45169</v>
      </c>
      <c r="F609" s="4">
        <v>71620</v>
      </c>
      <c r="G609" s="4">
        <v>94916</v>
      </c>
      <c r="H609" s="2">
        <v>3483</v>
      </c>
      <c r="I609" s="16">
        <v>18</v>
      </c>
      <c r="J609" s="1">
        <v>45187</v>
      </c>
      <c r="K609" s="3">
        <v>0.75460000000000005</v>
      </c>
      <c r="L609" s="13">
        <f t="shared" si="20"/>
        <v>36.695604534535796</v>
      </c>
      <c r="M609" s="16">
        <f t="shared" si="21"/>
        <v>3978.8888888888887</v>
      </c>
    </row>
    <row r="610" spans="1:13" x14ac:dyDescent="0.3">
      <c r="A610">
        <v>100608</v>
      </c>
      <c r="B610" t="s">
        <v>10</v>
      </c>
      <c r="C610" t="s">
        <v>11</v>
      </c>
      <c r="D610" t="s">
        <v>12</v>
      </c>
      <c r="E610" s="1">
        <v>45170</v>
      </c>
      <c r="F610" s="4">
        <v>92814</v>
      </c>
      <c r="G610" s="4">
        <v>80471</v>
      </c>
      <c r="H610" s="2">
        <v>262</v>
      </c>
      <c r="I610" s="16">
        <v>25</v>
      </c>
      <c r="J610" s="1">
        <v>45195</v>
      </c>
      <c r="K610" s="3">
        <v>1.1534</v>
      </c>
      <c r="L610" s="13">
        <f t="shared" si="20"/>
        <v>3.2558312932609264</v>
      </c>
      <c r="M610" s="16">
        <f t="shared" si="21"/>
        <v>3712.56</v>
      </c>
    </row>
    <row r="611" spans="1:13" x14ac:dyDescent="0.3">
      <c r="A611">
        <v>100609</v>
      </c>
      <c r="B611" t="s">
        <v>13</v>
      </c>
      <c r="C611" t="s">
        <v>16</v>
      </c>
      <c r="D611" t="s">
        <v>17</v>
      </c>
      <c r="E611" s="1">
        <v>45171</v>
      </c>
      <c r="F611" s="4">
        <v>79868</v>
      </c>
      <c r="G611" s="4">
        <v>757159</v>
      </c>
      <c r="H611" s="2">
        <v>2806</v>
      </c>
      <c r="I611" s="16">
        <v>13</v>
      </c>
      <c r="J611" s="1">
        <v>45184</v>
      </c>
      <c r="K611" s="3">
        <v>0.1055</v>
      </c>
      <c r="L611" s="13">
        <f t="shared" si="20"/>
        <v>3.7059587220121535</v>
      </c>
      <c r="M611" s="16">
        <f t="shared" si="21"/>
        <v>6143.6923076923076</v>
      </c>
    </row>
    <row r="612" spans="1:13" x14ac:dyDescent="0.3">
      <c r="A612">
        <v>100610</v>
      </c>
      <c r="B612" t="s">
        <v>13</v>
      </c>
      <c r="C612" t="s">
        <v>20</v>
      </c>
      <c r="D612" t="s">
        <v>24</v>
      </c>
      <c r="E612" s="1">
        <v>45172</v>
      </c>
      <c r="F612" s="4">
        <v>13835</v>
      </c>
      <c r="G612" s="4">
        <v>209239</v>
      </c>
      <c r="H612" s="2">
        <v>2119</v>
      </c>
      <c r="I612" s="16">
        <v>19</v>
      </c>
      <c r="J612" s="1">
        <v>45191</v>
      </c>
      <c r="K612" s="3">
        <v>6.6100000000000006E-2</v>
      </c>
      <c r="L612" s="13">
        <f t="shared" si="20"/>
        <v>10.127175144213078</v>
      </c>
      <c r="M612" s="16">
        <f t="shared" si="21"/>
        <v>728.15789473684208</v>
      </c>
    </row>
    <row r="613" spans="1:13" x14ac:dyDescent="0.3">
      <c r="A613">
        <v>100611</v>
      </c>
      <c r="B613" t="s">
        <v>13</v>
      </c>
      <c r="C613" t="s">
        <v>14</v>
      </c>
      <c r="D613" t="s">
        <v>12</v>
      </c>
      <c r="E613" s="1">
        <v>45173</v>
      </c>
      <c r="F613" s="4">
        <v>38054</v>
      </c>
      <c r="G613" s="4">
        <v>749124</v>
      </c>
      <c r="H613" s="2">
        <v>770</v>
      </c>
      <c r="I613" s="16">
        <v>28</v>
      </c>
      <c r="J613" s="1">
        <v>45201</v>
      </c>
      <c r="K613" s="3">
        <v>5.0799999999999998E-2</v>
      </c>
      <c r="L613" s="13">
        <f t="shared" si="20"/>
        <v>1.0278672155744577</v>
      </c>
      <c r="M613" s="16">
        <f t="shared" si="21"/>
        <v>1359.0714285714287</v>
      </c>
    </row>
    <row r="614" spans="1:13" x14ac:dyDescent="0.3">
      <c r="A614">
        <v>100612</v>
      </c>
      <c r="B614" t="s">
        <v>19</v>
      </c>
      <c r="C614" t="s">
        <v>21</v>
      </c>
      <c r="D614" t="s">
        <v>17</v>
      </c>
      <c r="E614" s="1">
        <v>45174</v>
      </c>
      <c r="F614" s="4">
        <v>86102</v>
      </c>
      <c r="G614" s="4">
        <v>372591</v>
      </c>
      <c r="H614" s="2">
        <v>2613</v>
      </c>
      <c r="I614" s="16">
        <v>25</v>
      </c>
      <c r="J614" s="1">
        <v>45199</v>
      </c>
      <c r="K614" s="3">
        <v>0.2311</v>
      </c>
      <c r="L614" s="13">
        <f t="shared" si="20"/>
        <v>7.013051845052618</v>
      </c>
      <c r="M614" s="16">
        <f t="shared" si="21"/>
        <v>3444.08</v>
      </c>
    </row>
    <row r="615" spans="1:13" x14ac:dyDescent="0.3">
      <c r="A615">
        <v>100613</v>
      </c>
      <c r="B615" t="s">
        <v>19</v>
      </c>
      <c r="C615" t="s">
        <v>11</v>
      </c>
      <c r="D615" t="s">
        <v>24</v>
      </c>
      <c r="E615" s="1">
        <v>45175</v>
      </c>
      <c r="F615" s="4">
        <v>95974</v>
      </c>
      <c r="G615" s="4">
        <v>713139</v>
      </c>
      <c r="H615" s="2">
        <v>4106</v>
      </c>
      <c r="I615" s="16">
        <v>13</v>
      </c>
      <c r="J615" s="1">
        <v>45188</v>
      </c>
      <c r="K615" s="3">
        <v>0.1346</v>
      </c>
      <c r="L615" s="13">
        <f t="shared" si="20"/>
        <v>5.7576433205868698</v>
      </c>
      <c r="M615" s="16">
        <f t="shared" si="21"/>
        <v>7382.6153846153848</v>
      </c>
    </row>
    <row r="616" spans="1:13" x14ac:dyDescent="0.3">
      <c r="A616">
        <v>100614</v>
      </c>
      <c r="B616" t="s">
        <v>18</v>
      </c>
      <c r="C616" t="s">
        <v>20</v>
      </c>
      <c r="D616" t="s">
        <v>15</v>
      </c>
      <c r="E616" s="1">
        <v>45176</v>
      </c>
      <c r="F616" s="4">
        <v>71924</v>
      </c>
      <c r="G616" s="4">
        <v>564056</v>
      </c>
      <c r="H616" s="2">
        <v>3335</v>
      </c>
      <c r="I616" s="16">
        <v>5</v>
      </c>
      <c r="J616" s="1">
        <v>45181</v>
      </c>
      <c r="K616" s="3">
        <v>0.1275</v>
      </c>
      <c r="L616" s="13">
        <f t="shared" si="20"/>
        <v>5.9125335073113314</v>
      </c>
      <c r="M616" s="16">
        <f t="shared" si="21"/>
        <v>14384.8</v>
      </c>
    </row>
    <row r="617" spans="1:13" x14ac:dyDescent="0.3">
      <c r="A617">
        <v>100615</v>
      </c>
      <c r="B617" t="s">
        <v>10</v>
      </c>
      <c r="C617" t="s">
        <v>14</v>
      </c>
      <c r="D617" t="s">
        <v>17</v>
      </c>
      <c r="E617" s="1">
        <v>45177</v>
      </c>
      <c r="F617" s="4">
        <v>39968</v>
      </c>
      <c r="G617" s="4">
        <v>686234</v>
      </c>
      <c r="H617" s="2">
        <v>2458</v>
      </c>
      <c r="I617" s="16">
        <v>15</v>
      </c>
      <c r="J617" s="1">
        <v>45192</v>
      </c>
      <c r="K617" s="3">
        <v>5.8200000000000002E-2</v>
      </c>
      <c r="L617" s="13">
        <f t="shared" si="20"/>
        <v>3.5818685754421962</v>
      </c>
      <c r="M617" s="16">
        <f t="shared" si="21"/>
        <v>2664.5333333333333</v>
      </c>
    </row>
    <row r="618" spans="1:13" x14ac:dyDescent="0.3">
      <c r="A618">
        <v>100616</v>
      </c>
      <c r="B618" t="s">
        <v>10</v>
      </c>
      <c r="C618" t="s">
        <v>21</v>
      </c>
      <c r="D618" t="s">
        <v>22</v>
      </c>
      <c r="E618" s="1">
        <v>45178</v>
      </c>
      <c r="F618" s="4">
        <v>63054</v>
      </c>
      <c r="G618" s="4">
        <v>77990</v>
      </c>
      <c r="H618" s="2">
        <v>1806</v>
      </c>
      <c r="I618" s="16">
        <v>27</v>
      </c>
      <c r="J618" s="1">
        <v>45205</v>
      </c>
      <c r="K618" s="3">
        <v>0.8085</v>
      </c>
      <c r="L618" s="13">
        <f t="shared" si="20"/>
        <v>23.156814976279009</v>
      </c>
      <c r="M618" s="16">
        <f t="shared" si="21"/>
        <v>2335.3333333333335</v>
      </c>
    </row>
    <row r="619" spans="1:13" x14ac:dyDescent="0.3">
      <c r="A619">
        <v>100617</v>
      </c>
      <c r="B619" t="s">
        <v>18</v>
      </c>
      <c r="C619" t="s">
        <v>25</v>
      </c>
      <c r="D619" t="s">
        <v>15</v>
      </c>
      <c r="E619" s="1">
        <v>45179</v>
      </c>
      <c r="F619" s="4">
        <v>74591</v>
      </c>
      <c r="G619" s="4">
        <v>394714</v>
      </c>
      <c r="H619" s="2">
        <v>821</v>
      </c>
      <c r="I619" s="16">
        <v>18</v>
      </c>
      <c r="J619" s="1">
        <v>45197</v>
      </c>
      <c r="K619" s="3">
        <v>0.189</v>
      </c>
      <c r="L619" s="13">
        <f t="shared" si="20"/>
        <v>2.0799870285827207</v>
      </c>
      <c r="M619" s="16">
        <f t="shared" si="21"/>
        <v>4143.9444444444443</v>
      </c>
    </row>
    <row r="620" spans="1:13" x14ac:dyDescent="0.3">
      <c r="A620">
        <v>100618</v>
      </c>
      <c r="B620" t="s">
        <v>18</v>
      </c>
      <c r="C620" t="s">
        <v>21</v>
      </c>
      <c r="D620" t="s">
        <v>22</v>
      </c>
      <c r="E620" s="1">
        <v>45180</v>
      </c>
      <c r="F620" s="4">
        <v>92169</v>
      </c>
      <c r="G620" s="4">
        <v>844230</v>
      </c>
      <c r="H620" s="2">
        <v>2849</v>
      </c>
      <c r="I620" s="16">
        <v>21</v>
      </c>
      <c r="J620" s="1">
        <v>45201</v>
      </c>
      <c r="K620" s="3">
        <v>0.10920000000000001</v>
      </c>
      <c r="L620" s="13">
        <f t="shared" si="20"/>
        <v>3.3746727787451287</v>
      </c>
      <c r="M620" s="16">
        <f t="shared" si="21"/>
        <v>4389</v>
      </c>
    </row>
    <row r="621" spans="1:13" x14ac:dyDescent="0.3">
      <c r="A621">
        <v>100619</v>
      </c>
      <c r="B621" t="s">
        <v>18</v>
      </c>
      <c r="C621" t="s">
        <v>11</v>
      </c>
      <c r="D621" t="s">
        <v>15</v>
      </c>
      <c r="E621" s="1">
        <v>45181</v>
      </c>
      <c r="F621" s="4">
        <v>2255</v>
      </c>
      <c r="G621" s="4">
        <v>496534</v>
      </c>
      <c r="H621" s="2">
        <v>2410</v>
      </c>
      <c r="I621" s="16">
        <v>3</v>
      </c>
      <c r="J621" s="1">
        <v>45184</v>
      </c>
      <c r="K621" s="3">
        <v>4.4999999999999997E-3</v>
      </c>
      <c r="L621" s="13">
        <f t="shared" si="20"/>
        <v>4.8536454704008181</v>
      </c>
      <c r="M621" s="16">
        <f t="shared" si="21"/>
        <v>751.66666666666663</v>
      </c>
    </row>
    <row r="622" spans="1:13" x14ac:dyDescent="0.3">
      <c r="A622">
        <v>100620</v>
      </c>
      <c r="B622" t="s">
        <v>10</v>
      </c>
      <c r="C622" t="s">
        <v>20</v>
      </c>
      <c r="D622" t="s">
        <v>17</v>
      </c>
      <c r="E622" s="1">
        <v>45182</v>
      </c>
      <c r="F622" s="4">
        <v>52298</v>
      </c>
      <c r="G622" s="4">
        <v>19409</v>
      </c>
      <c r="H622" s="2">
        <v>4487</v>
      </c>
      <c r="I622" s="16">
        <v>23</v>
      </c>
      <c r="J622" s="1">
        <v>45205</v>
      </c>
      <c r="K622" s="3">
        <v>2.6945000000000001</v>
      </c>
      <c r="L622" s="13">
        <f t="shared" si="20"/>
        <v>231.18141068576435</v>
      </c>
      <c r="M622" s="16">
        <f t="shared" si="21"/>
        <v>2273.8260869565215</v>
      </c>
    </row>
    <row r="623" spans="1:13" x14ac:dyDescent="0.3">
      <c r="A623">
        <v>100621</v>
      </c>
      <c r="B623" t="s">
        <v>13</v>
      </c>
      <c r="C623" t="s">
        <v>16</v>
      </c>
      <c r="D623" t="s">
        <v>17</v>
      </c>
      <c r="E623" s="1">
        <v>45183</v>
      </c>
      <c r="F623" s="4">
        <v>77720</v>
      </c>
      <c r="G623" s="4">
        <v>264319</v>
      </c>
      <c r="H623" s="2">
        <v>3253</v>
      </c>
      <c r="I623" s="16">
        <v>1</v>
      </c>
      <c r="J623" s="1">
        <v>45184</v>
      </c>
      <c r="K623" s="3">
        <v>0.29399999999999998</v>
      </c>
      <c r="L623" s="13">
        <f t="shared" si="20"/>
        <v>12.307098619471169</v>
      </c>
      <c r="M623" s="16">
        <f t="shared" si="21"/>
        <v>77720</v>
      </c>
    </row>
    <row r="624" spans="1:13" x14ac:dyDescent="0.3">
      <c r="A624">
        <v>100622</v>
      </c>
      <c r="B624" t="s">
        <v>19</v>
      </c>
      <c r="C624" t="s">
        <v>23</v>
      </c>
      <c r="D624" t="s">
        <v>17</v>
      </c>
      <c r="E624" s="1">
        <v>45184</v>
      </c>
      <c r="F624" s="4">
        <v>34160</v>
      </c>
      <c r="G624" s="4">
        <v>176292</v>
      </c>
      <c r="H624" s="2">
        <v>3952</v>
      </c>
      <c r="I624" s="16">
        <v>19</v>
      </c>
      <c r="J624" s="1">
        <v>45203</v>
      </c>
      <c r="K624" s="3">
        <v>0.1938</v>
      </c>
      <c r="L624" s="13">
        <f t="shared" si="20"/>
        <v>22.417353027930933</v>
      </c>
      <c r="M624" s="16">
        <f t="shared" si="21"/>
        <v>1797.8947368421052</v>
      </c>
    </row>
    <row r="625" spans="1:13" x14ac:dyDescent="0.3">
      <c r="A625">
        <v>100623</v>
      </c>
      <c r="B625" t="s">
        <v>13</v>
      </c>
      <c r="C625" t="s">
        <v>16</v>
      </c>
      <c r="D625" t="s">
        <v>12</v>
      </c>
      <c r="E625" s="1">
        <v>45185</v>
      </c>
      <c r="F625" s="4">
        <v>43478</v>
      </c>
      <c r="G625" s="4">
        <v>504582</v>
      </c>
      <c r="H625" s="2">
        <v>1074</v>
      </c>
      <c r="I625" s="16">
        <v>20</v>
      </c>
      <c r="J625" s="1">
        <v>45205</v>
      </c>
      <c r="K625" s="3">
        <v>8.6199999999999999E-2</v>
      </c>
      <c r="L625" s="13">
        <f t="shared" si="20"/>
        <v>2.1284944766162885</v>
      </c>
      <c r="M625" s="16">
        <f t="shared" si="21"/>
        <v>2173.9</v>
      </c>
    </row>
    <row r="626" spans="1:13" x14ac:dyDescent="0.3">
      <c r="A626">
        <v>100624</v>
      </c>
      <c r="B626" t="s">
        <v>19</v>
      </c>
      <c r="C626" t="s">
        <v>25</v>
      </c>
      <c r="D626" t="s">
        <v>15</v>
      </c>
      <c r="E626" s="1">
        <v>45186</v>
      </c>
      <c r="F626" s="4">
        <v>37204</v>
      </c>
      <c r="G626" s="4">
        <v>438587</v>
      </c>
      <c r="H626" s="2">
        <v>1975</v>
      </c>
      <c r="I626" s="16">
        <v>17</v>
      </c>
      <c r="J626" s="1">
        <v>45203</v>
      </c>
      <c r="K626" s="3">
        <v>8.48E-2</v>
      </c>
      <c r="L626" s="13">
        <f t="shared" si="20"/>
        <v>4.5030974470287539</v>
      </c>
      <c r="M626" s="16">
        <f t="shared" si="21"/>
        <v>2188.4705882352941</v>
      </c>
    </row>
    <row r="627" spans="1:13" x14ac:dyDescent="0.3">
      <c r="A627">
        <v>100625</v>
      </c>
      <c r="B627" t="s">
        <v>13</v>
      </c>
      <c r="C627" t="s">
        <v>23</v>
      </c>
      <c r="D627" t="s">
        <v>12</v>
      </c>
      <c r="E627" s="1">
        <v>45187</v>
      </c>
      <c r="F627" s="4">
        <v>20248</v>
      </c>
      <c r="G627" s="4">
        <v>980619</v>
      </c>
      <c r="H627" s="2">
        <v>4282</v>
      </c>
      <c r="I627" s="16">
        <v>9</v>
      </c>
      <c r="J627" s="1">
        <v>45196</v>
      </c>
      <c r="K627" s="3">
        <v>2.06E-2</v>
      </c>
      <c r="L627" s="13">
        <f t="shared" si="20"/>
        <v>4.3666296492317604</v>
      </c>
      <c r="M627" s="16">
        <f t="shared" si="21"/>
        <v>2249.7777777777778</v>
      </c>
    </row>
    <row r="628" spans="1:13" x14ac:dyDescent="0.3">
      <c r="A628">
        <v>100626</v>
      </c>
      <c r="B628" t="s">
        <v>10</v>
      </c>
      <c r="C628" t="s">
        <v>16</v>
      </c>
      <c r="D628" t="s">
        <v>24</v>
      </c>
      <c r="E628" s="1">
        <v>45188</v>
      </c>
      <c r="F628" s="4">
        <v>83255</v>
      </c>
      <c r="G628" s="4">
        <v>322738</v>
      </c>
      <c r="H628" s="2">
        <v>2473</v>
      </c>
      <c r="I628" s="16">
        <v>19</v>
      </c>
      <c r="J628" s="1">
        <v>45207</v>
      </c>
      <c r="K628" s="3">
        <v>0.25800000000000001</v>
      </c>
      <c r="L628" s="13">
        <f t="shared" si="20"/>
        <v>7.6625622021577877</v>
      </c>
      <c r="M628" s="16">
        <f t="shared" si="21"/>
        <v>4381.8421052631575</v>
      </c>
    </row>
    <row r="629" spans="1:13" x14ac:dyDescent="0.3">
      <c r="A629">
        <v>100627</v>
      </c>
      <c r="B629" t="s">
        <v>18</v>
      </c>
      <c r="C629" t="s">
        <v>23</v>
      </c>
      <c r="D629" t="s">
        <v>15</v>
      </c>
      <c r="E629" s="1">
        <v>45189</v>
      </c>
      <c r="F629" s="4">
        <v>88783</v>
      </c>
      <c r="G629" s="4">
        <v>831942</v>
      </c>
      <c r="H629" s="2">
        <v>1184</v>
      </c>
      <c r="I629" s="16">
        <v>5</v>
      </c>
      <c r="J629" s="1">
        <v>45194</v>
      </c>
      <c r="K629" s="3">
        <v>0.1067</v>
      </c>
      <c r="L629" s="13">
        <f t="shared" si="20"/>
        <v>1.4231761348747869</v>
      </c>
      <c r="M629" s="16">
        <f t="shared" si="21"/>
        <v>17756.599999999999</v>
      </c>
    </row>
    <row r="630" spans="1:13" x14ac:dyDescent="0.3">
      <c r="A630">
        <v>100628</v>
      </c>
      <c r="B630" t="s">
        <v>13</v>
      </c>
      <c r="C630" t="s">
        <v>20</v>
      </c>
      <c r="D630" t="s">
        <v>17</v>
      </c>
      <c r="E630" s="1">
        <v>45190</v>
      </c>
      <c r="F630" s="4">
        <v>94692</v>
      </c>
      <c r="G630" s="4">
        <v>548977</v>
      </c>
      <c r="H630" s="2">
        <v>3891</v>
      </c>
      <c r="I630" s="16">
        <v>12</v>
      </c>
      <c r="J630" s="1">
        <v>45202</v>
      </c>
      <c r="K630" s="3">
        <v>0.17249999999999999</v>
      </c>
      <c r="L630" s="13">
        <f t="shared" si="20"/>
        <v>7.0877286297968771</v>
      </c>
      <c r="M630" s="16">
        <f t="shared" si="21"/>
        <v>7891</v>
      </c>
    </row>
    <row r="631" spans="1:13" x14ac:dyDescent="0.3">
      <c r="A631">
        <v>100629</v>
      </c>
      <c r="B631" t="s">
        <v>10</v>
      </c>
      <c r="C631" t="s">
        <v>14</v>
      </c>
      <c r="D631" t="s">
        <v>22</v>
      </c>
      <c r="E631" s="1">
        <v>45191</v>
      </c>
      <c r="F631" s="4">
        <v>67979</v>
      </c>
      <c r="G631" s="4">
        <v>453224</v>
      </c>
      <c r="H631" s="2">
        <v>1425</v>
      </c>
      <c r="I631" s="16">
        <v>28</v>
      </c>
      <c r="J631" s="1">
        <v>45219</v>
      </c>
      <c r="K631" s="3">
        <v>0.15</v>
      </c>
      <c r="L631" s="13">
        <f t="shared" si="20"/>
        <v>3.1441406456851357</v>
      </c>
      <c r="M631" s="16">
        <f t="shared" si="21"/>
        <v>2427.8214285714284</v>
      </c>
    </row>
    <row r="632" spans="1:13" x14ac:dyDescent="0.3">
      <c r="A632">
        <v>100630</v>
      </c>
      <c r="B632" t="s">
        <v>19</v>
      </c>
      <c r="C632" t="s">
        <v>25</v>
      </c>
      <c r="D632" t="s">
        <v>22</v>
      </c>
      <c r="E632" s="1">
        <v>45192</v>
      </c>
      <c r="F632" s="4">
        <v>26570</v>
      </c>
      <c r="G632" s="4">
        <v>487527</v>
      </c>
      <c r="H632" s="2">
        <v>1400</v>
      </c>
      <c r="I632" s="16">
        <v>25</v>
      </c>
      <c r="J632" s="1">
        <v>45217</v>
      </c>
      <c r="K632" s="3">
        <v>5.45E-2</v>
      </c>
      <c r="L632" s="13">
        <f t="shared" si="20"/>
        <v>2.8716358273490497</v>
      </c>
      <c r="M632" s="16">
        <f t="shared" si="21"/>
        <v>1062.8</v>
      </c>
    </row>
    <row r="633" spans="1:13" x14ac:dyDescent="0.3">
      <c r="A633">
        <v>100631</v>
      </c>
      <c r="B633" t="s">
        <v>10</v>
      </c>
      <c r="C633" t="s">
        <v>23</v>
      </c>
      <c r="D633" t="s">
        <v>24</v>
      </c>
      <c r="E633" s="1">
        <v>45193</v>
      </c>
      <c r="F633" s="4">
        <v>39638</v>
      </c>
      <c r="G633" s="4">
        <v>819677</v>
      </c>
      <c r="H633" s="2">
        <v>3096</v>
      </c>
      <c r="I633" s="16">
        <v>8</v>
      </c>
      <c r="J633" s="1">
        <v>45201</v>
      </c>
      <c r="K633" s="3">
        <v>4.8399999999999999E-2</v>
      </c>
      <c r="L633" s="13">
        <f t="shared" si="20"/>
        <v>3.7770975640404698</v>
      </c>
      <c r="M633" s="16">
        <f t="shared" si="21"/>
        <v>4954.75</v>
      </c>
    </row>
    <row r="634" spans="1:13" x14ac:dyDescent="0.3">
      <c r="A634">
        <v>100632</v>
      </c>
      <c r="B634" t="s">
        <v>18</v>
      </c>
      <c r="C634" t="s">
        <v>20</v>
      </c>
      <c r="D634" t="s">
        <v>15</v>
      </c>
      <c r="E634" s="1">
        <v>45194</v>
      </c>
      <c r="F634" s="4">
        <v>89865</v>
      </c>
      <c r="G634" s="4">
        <v>378757</v>
      </c>
      <c r="H634" s="2">
        <v>2662</v>
      </c>
      <c r="I634" s="16">
        <v>14</v>
      </c>
      <c r="J634" s="1">
        <v>45208</v>
      </c>
      <c r="K634" s="3">
        <v>0.23730000000000001</v>
      </c>
      <c r="L634" s="13">
        <f t="shared" si="20"/>
        <v>7.0282529431799281</v>
      </c>
      <c r="M634" s="16">
        <f t="shared" si="21"/>
        <v>6418.9285714285716</v>
      </c>
    </row>
    <row r="635" spans="1:13" x14ac:dyDescent="0.3">
      <c r="A635">
        <v>100633</v>
      </c>
      <c r="B635" t="s">
        <v>18</v>
      </c>
      <c r="C635" t="s">
        <v>14</v>
      </c>
      <c r="D635" t="s">
        <v>22</v>
      </c>
      <c r="E635" s="1">
        <v>45195</v>
      </c>
      <c r="F635" s="4">
        <v>63257</v>
      </c>
      <c r="G635" s="4">
        <v>498101</v>
      </c>
      <c r="H635" s="2">
        <v>189</v>
      </c>
      <c r="I635" s="16">
        <v>23</v>
      </c>
      <c r="J635" s="1">
        <v>45218</v>
      </c>
      <c r="K635" s="3">
        <v>0.127</v>
      </c>
      <c r="L635" s="13">
        <f t="shared" si="20"/>
        <v>0.37944111736374753</v>
      </c>
      <c r="M635" s="16">
        <f t="shared" si="21"/>
        <v>2750.304347826087</v>
      </c>
    </row>
    <row r="636" spans="1:13" x14ac:dyDescent="0.3">
      <c r="A636">
        <v>100634</v>
      </c>
      <c r="B636" t="s">
        <v>18</v>
      </c>
      <c r="C636" t="s">
        <v>20</v>
      </c>
      <c r="D636" t="s">
        <v>15</v>
      </c>
      <c r="E636" s="1">
        <v>45196</v>
      </c>
      <c r="F636" s="4">
        <v>84029</v>
      </c>
      <c r="G636" s="4">
        <v>662165</v>
      </c>
      <c r="H636" s="2">
        <v>4681</v>
      </c>
      <c r="I636" s="16">
        <v>1</v>
      </c>
      <c r="J636" s="1">
        <v>45197</v>
      </c>
      <c r="K636" s="3">
        <v>0.12690000000000001</v>
      </c>
      <c r="L636" s="13">
        <f t="shared" si="20"/>
        <v>7.0692350094009804</v>
      </c>
      <c r="M636" s="16">
        <f t="shared" si="21"/>
        <v>84029</v>
      </c>
    </row>
    <row r="637" spans="1:13" x14ac:dyDescent="0.3">
      <c r="A637">
        <v>100635</v>
      </c>
      <c r="B637" t="s">
        <v>18</v>
      </c>
      <c r="C637" t="s">
        <v>16</v>
      </c>
      <c r="D637" t="s">
        <v>17</v>
      </c>
      <c r="E637" s="1">
        <v>45197</v>
      </c>
      <c r="F637" s="4">
        <v>65204</v>
      </c>
      <c r="G637" s="4">
        <v>493613</v>
      </c>
      <c r="H637" s="2">
        <v>2795</v>
      </c>
      <c r="I637" s="16">
        <v>9</v>
      </c>
      <c r="J637" s="1">
        <v>45206</v>
      </c>
      <c r="K637" s="3">
        <v>0.1321</v>
      </c>
      <c r="L637" s="13">
        <f t="shared" si="20"/>
        <v>5.6623306112278247</v>
      </c>
      <c r="M637" s="16">
        <f t="shared" si="21"/>
        <v>7244.8888888888887</v>
      </c>
    </row>
    <row r="638" spans="1:13" x14ac:dyDescent="0.3">
      <c r="A638">
        <v>100636</v>
      </c>
      <c r="B638" t="s">
        <v>13</v>
      </c>
      <c r="C638" t="s">
        <v>20</v>
      </c>
      <c r="D638" t="s">
        <v>15</v>
      </c>
      <c r="E638" s="1">
        <v>45198</v>
      </c>
      <c r="F638" s="4">
        <v>116</v>
      </c>
      <c r="G638" s="4">
        <v>624967</v>
      </c>
      <c r="H638" s="2">
        <v>4174</v>
      </c>
      <c r="I638" s="16">
        <v>17</v>
      </c>
      <c r="J638" s="1">
        <v>45215</v>
      </c>
      <c r="K638" s="3">
        <v>2.0000000000000001E-4</v>
      </c>
      <c r="L638" s="13">
        <f t="shared" si="20"/>
        <v>6.6787526381392937</v>
      </c>
      <c r="M638" s="16">
        <f t="shared" si="21"/>
        <v>6.8235294117647056</v>
      </c>
    </row>
    <row r="639" spans="1:13" x14ac:dyDescent="0.3">
      <c r="A639">
        <v>100637</v>
      </c>
      <c r="B639" t="s">
        <v>10</v>
      </c>
      <c r="C639" t="s">
        <v>14</v>
      </c>
      <c r="D639" t="s">
        <v>15</v>
      </c>
      <c r="E639" s="1">
        <v>45199</v>
      </c>
      <c r="F639" s="4">
        <v>53711</v>
      </c>
      <c r="G639" s="4">
        <v>329891</v>
      </c>
      <c r="H639" s="2">
        <v>2371</v>
      </c>
      <c r="I639" s="16">
        <v>15</v>
      </c>
      <c r="J639" s="1">
        <v>45214</v>
      </c>
      <c r="K639" s="3">
        <v>0.1628</v>
      </c>
      <c r="L639" s="13">
        <f t="shared" si="20"/>
        <v>7.1872224462019272</v>
      </c>
      <c r="M639" s="16">
        <f t="shared" si="21"/>
        <v>3580.7333333333331</v>
      </c>
    </row>
    <row r="640" spans="1:13" x14ac:dyDescent="0.3">
      <c r="A640">
        <v>100638</v>
      </c>
      <c r="B640" t="s">
        <v>10</v>
      </c>
      <c r="C640" t="s">
        <v>16</v>
      </c>
      <c r="D640" t="s">
        <v>22</v>
      </c>
      <c r="E640" s="1">
        <v>45200</v>
      </c>
      <c r="F640" s="4">
        <v>5037</v>
      </c>
      <c r="G640" s="4">
        <v>308413</v>
      </c>
      <c r="H640" s="2">
        <v>2288</v>
      </c>
      <c r="I640" s="16">
        <v>13</v>
      </c>
      <c r="J640" s="1">
        <v>45213</v>
      </c>
      <c r="K640" s="3">
        <v>1.6299999999999999E-2</v>
      </c>
      <c r="L640" s="13">
        <f t="shared" si="20"/>
        <v>7.4186237285717525</v>
      </c>
      <c r="M640" s="16">
        <f t="shared" si="21"/>
        <v>387.46153846153845</v>
      </c>
    </row>
    <row r="641" spans="1:13" x14ac:dyDescent="0.3">
      <c r="A641">
        <v>100639</v>
      </c>
      <c r="B641" t="s">
        <v>10</v>
      </c>
      <c r="C641" t="s">
        <v>20</v>
      </c>
      <c r="D641" t="s">
        <v>24</v>
      </c>
      <c r="E641" s="1">
        <v>45201</v>
      </c>
      <c r="F641" s="4">
        <v>36077</v>
      </c>
      <c r="G641" s="4">
        <v>923221</v>
      </c>
      <c r="H641" s="2">
        <v>3896</v>
      </c>
      <c r="I641" s="16">
        <v>18</v>
      </c>
      <c r="J641" s="1">
        <v>45219</v>
      </c>
      <c r="K641" s="3">
        <v>3.9100000000000003E-2</v>
      </c>
      <c r="L641" s="13">
        <f t="shared" si="20"/>
        <v>4.2200079937523087</v>
      </c>
      <c r="M641" s="16">
        <f t="shared" si="21"/>
        <v>2004.2777777777778</v>
      </c>
    </row>
    <row r="642" spans="1:13" x14ac:dyDescent="0.3">
      <c r="A642">
        <v>100640</v>
      </c>
      <c r="B642" t="s">
        <v>10</v>
      </c>
      <c r="C642" t="s">
        <v>14</v>
      </c>
      <c r="D642" t="s">
        <v>22</v>
      </c>
      <c r="E642" s="1">
        <v>45202</v>
      </c>
      <c r="F642" s="4">
        <v>31782</v>
      </c>
      <c r="G642" s="4">
        <v>574023</v>
      </c>
      <c r="H642" s="2">
        <v>911</v>
      </c>
      <c r="I642" s="16">
        <v>17</v>
      </c>
      <c r="J642" s="1">
        <v>45219</v>
      </c>
      <c r="K642" s="3">
        <v>5.5399999999999998E-2</v>
      </c>
      <c r="L642" s="13">
        <f t="shared" ref="L642:L705" si="22">H642/G642*1000</f>
        <v>1.5870444215649897</v>
      </c>
      <c r="M642" s="16">
        <f t="shared" ref="M642:M705" si="23">IFERROR(F642/I642,"No Data")</f>
        <v>1869.5294117647059</v>
      </c>
    </row>
    <row r="643" spans="1:13" x14ac:dyDescent="0.3">
      <c r="A643">
        <v>100641</v>
      </c>
      <c r="B643" t="s">
        <v>10</v>
      </c>
      <c r="C643" t="s">
        <v>20</v>
      </c>
      <c r="D643" t="s">
        <v>22</v>
      </c>
      <c r="E643" s="1">
        <v>45203</v>
      </c>
      <c r="F643" s="4">
        <v>39843</v>
      </c>
      <c r="G643" s="4">
        <v>746564</v>
      </c>
      <c r="H643" s="2">
        <v>3382</v>
      </c>
      <c r="I643" s="16">
        <v>29</v>
      </c>
      <c r="J643" s="1">
        <v>45232</v>
      </c>
      <c r="K643" s="3">
        <v>5.3400000000000003E-2</v>
      </c>
      <c r="L643" s="13">
        <f t="shared" si="22"/>
        <v>4.5300871727005321</v>
      </c>
      <c r="M643" s="16">
        <f t="shared" si="23"/>
        <v>1373.8965517241379</v>
      </c>
    </row>
    <row r="644" spans="1:13" x14ac:dyDescent="0.3">
      <c r="A644">
        <v>100642</v>
      </c>
      <c r="B644" t="s">
        <v>18</v>
      </c>
      <c r="C644" t="s">
        <v>21</v>
      </c>
      <c r="D644" t="s">
        <v>15</v>
      </c>
      <c r="E644" s="1">
        <v>45204</v>
      </c>
      <c r="F644" s="4">
        <v>72946</v>
      </c>
      <c r="G644" s="4">
        <v>935966</v>
      </c>
      <c r="H644" s="2">
        <v>1105</v>
      </c>
      <c r="I644" s="16">
        <v>22</v>
      </c>
      <c r="J644" s="1">
        <v>45226</v>
      </c>
      <c r="K644" s="3">
        <v>7.7899999999999997E-2</v>
      </c>
      <c r="L644" s="13">
        <f t="shared" si="22"/>
        <v>1.1805984405416436</v>
      </c>
      <c r="M644" s="16">
        <f t="shared" si="23"/>
        <v>3315.7272727272725</v>
      </c>
    </row>
    <row r="645" spans="1:13" x14ac:dyDescent="0.3">
      <c r="A645">
        <v>100643</v>
      </c>
      <c r="B645" t="s">
        <v>18</v>
      </c>
      <c r="C645" t="s">
        <v>14</v>
      </c>
      <c r="D645" t="s">
        <v>22</v>
      </c>
      <c r="E645" s="1">
        <v>45205</v>
      </c>
      <c r="F645" s="4">
        <v>26122</v>
      </c>
      <c r="G645" s="4">
        <v>436973</v>
      </c>
      <c r="H645" s="2">
        <v>1078</v>
      </c>
      <c r="I645" s="16">
        <v>13</v>
      </c>
      <c r="J645" s="1">
        <v>45218</v>
      </c>
      <c r="K645" s="3">
        <v>5.9799999999999999E-2</v>
      </c>
      <c r="L645" s="13">
        <f t="shared" si="22"/>
        <v>2.4669716435569242</v>
      </c>
      <c r="M645" s="16">
        <f t="shared" si="23"/>
        <v>2009.3846153846155</v>
      </c>
    </row>
    <row r="646" spans="1:13" x14ac:dyDescent="0.3">
      <c r="A646">
        <v>100644</v>
      </c>
      <c r="B646" t="s">
        <v>13</v>
      </c>
      <c r="C646" t="s">
        <v>16</v>
      </c>
      <c r="D646" t="s">
        <v>17</v>
      </c>
      <c r="E646" s="1">
        <v>45206</v>
      </c>
      <c r="F646" s="4">
        <v>19094</v>
      </c>
      <c r="G646" s="4">
        <v>37973</v>
      </c>
      <c r="H646" s="2">
        <v>4915</v>
      </c>
      <c r="I646" s="16">
        <v>7</v>
      </c>
      <c r="J646" s="1">
        <v>45213</v>
      </c>
      <c r="K646" s="3">
        <v>0.50280000000000002</v>
      </c>
      <c r="L646" s="13">
        <f t="shared" si="22"/>
        <v>129.43407157717326</v>
      </c>
      <c r="M646" s="16">
        <f t="shared" si="23"/>
        <v>2727.7142857142858</v>
      </c>
    </row>
    <row r="647" spans="1:13" x14ac:dyDescent="0.3">
      <c r="A647">
        <v>100645</v>
      </c>
      <c r="B647" t="s">
        <v>10</v>
      </c>
      <c r="C647" t="s">
        <v>25</v>
      </c>
      <c r="D647" t="s">
        <v>15</v>
      </c>
      <c r="E647" s="1">
        <v>45207</v>
      </c>
      <c r="F647" s="4">
        <v>17413</v>
      </c>
      <c r="G647" s="4">
        <v>120682</v>
      </c>
      <c r="H647" s="2">
        <v>4790</v>
      </c>
      <c r="I647" s="16">
        <v>16</v>
      </c>
      <c r="J647" s="1">
        <v>45223</v>
      </c>
      <c r="K647" s="3">
        <v>0.14430000000000001</v>
      </c>
      <c r="L647" s="13">
        <f t="shared" si="22"/>
        <v>39.691088977643723</v>
      </c>
      <c r="M647" s="16">
        <f t="shared" si="23"/>
        <v>1088.3125</v>
      </c>
    </row>
    <row r="648" spans="1:13" x14ac:dyDescent="0.3">
      <c r="A648">
        <v>100646</v>
      </c>
      <c r="B648" t="s">
        <v>18</v>
      </c>
      <c r="C648" t="s">
        <v>14</v>
      </c>
      <c r="D648" t="s">
        <v>24</v>
      </c>
      <c r="E648" s="1">
        <v>45208</v>
      </c>
      <c r="F648" s="4">
        <v>66871</v>
      </c>
      <c r="G648" s="4">
        <v>486180</v>
      </c>
      <c r="H648" s="2">
        <v>3393</v>
      </c>
      <c r="I648" s="16">
        <v>19</v>
      </c>
      <c r="J648" s="1">
        <v>45227</v>
      </c>
      <c r="K648" s="3">
        <v>0.13750000000000001</v>
      </c>
      <c r="L648" s="13">
        <f t="shared" si="22"/>
        <v>6.978896704924102</v>
      </c>
      <c r="M648" s="16">
        <f t="shared" si="23"/>
        <v>3519.5263157894738</v>
      </c>
    </row>
    <row r="649" spans="1:13" x14ac:dyDescent="0.3">
      <c r="A649">
        <v>100647</v>
      </c>
      <c r="B649" t="s">
        <v>13</v>
      </c>
      <c r="C649" t="s">
        <v>14</v>
      </c>
      <c r="D649" t="s">
        <v>12</v>
      </c>
      <c r="E649" s="1">
        <v>45209</v>
      </c>
      <c r="F649" s="4">
        <v>64672</v>
      </c>
      <c r="G649" s="4">
        <v>937339</v>
      </c>
      <c r="H649" s="2">
        <v>2514</v>
      </c>
      <c r="I649" s="16">
        <v>17</v>
      </c>
      <c r="J649" s="1">
        <v>45226</v>
      </c>
      <c r="K649" s="3">
        <v>6.9000000000000006E-2</v>
      </c>
      <c r="L649" s="13">
        <f t="shared" si="22"/>
        <v>2.6820605992069035</v>
      </c>
      <c r="M649" s="16">
        <f t="shared" si="23"/>
        <v>3804.2352941176468</v>
      </c>
    </row>
    <row r="650" spans="1:13" x14ac:dyDescent="0.3">
      <c r="A650">
        <v>100648</v>
      </c>
      <c r="B650" t="s">
        <v>13</v>
      </c>
      <c r="C650" t="s">
        <v>14</v>
      </c>
      <c r="D650" t="s">
        <v>24</v>
      </c>
      <c r="E650" s="1">
        <v>45210</v>
      </c>
      <c r="F650" s="4">
        <v>64583</v>
      </c>
      <c r="G650" s="4">
        <v>764352</v>
      </c>
      <c r="H650" s="2">
        <v>633</v>
      </c>
      <c r="I650" s="16">
        <v>21</v>
      </c>
      <c r="J650" s="1">
        <v>45231</v>
      </c>
      <c r="K650" s="3">
        <v>8.4500000000000006E-2</v>
      </c>
      <c r="L650" s="13">
        <f t="shared" si="22"/>
        <v>0.82815247425270033</v>
      </c>
      <c r="M650" s="16">
        <f t="shared" si="23"/>
        <v>3075.3809523809523</v>
      </c>
    </row>
    <row r="651" spans="1:13" x14ac:dyDescent="0.3">
      <c r="A651">
        <v>100649</v>
      </c>
      <c r="B651" t="s">
        <v>18</v>
      </c>
      <c r="C651" t="s">
        <v>11</v>
      </c>
      <c r="D651" t="s">
        <v>22</v>
      </c>
      <c r="E651" s="1">
        <v>45211</v>
      </c>
      <c r="F651" s="4">
        <v>71458</v>
      </c>
      <c r="G651" s="4">
        <v>598952</v>
      </c>
      <c r="H651" s="2">
        <v>3927</v>
      </c>
      <c r="I651" s="16">
        <v>4</v>
      </c>
      <c r="J651" s="1">
        <v>45215</v>
      </c>
      <c r="K651" s="3">
        <v>0.1193</v>
      </c>
      <c r="L651" s="13">
        <f t="shared" si="22"/>
        <v>6.5564519360482976</v>
      </c>
      <c r="M651" s="16">
        <f t="shared" si="23"/>
        <v>17864.5</v>
      </c>
    </row>
    <row r="652" spans="1:13" x14ac:dyDescent="0.3">
      <c r="A652">
        <v>100650</v>
      </c>
      <c r="B652" t="s">
        <v>13</v>
      </c>
      <c r="C652" t="s">
        <v>25</v>
      </c>
      <c r="D652" t="s">
        <v>12</v>
      </c>
      <c r="E652" s="1">
        <v>45212</v>
      </c>
      <c r="F652" s="4">
        <v>75451</v>
      </c>
      <c r="G652" s="4">
        <v>839845</v>
      </c>
      <c r="H652" s="2">
        <v>2582</v>
      </c>
      <c r="I652" s="16">
        <v>6</v>
      </c>
      <c r="J652" s="1">
        <v>45218</v>
      </c>
      <c r="K652" s="3">
        <v>8.9800000000000005E-2</v>
      </c>
      <c r="L652" s="13">
        <f t="shared" si="22"/>
        <v>3.0743768195321755</v>
      </c>
      <c r="M652" s="16">
        <f t="shared" si="23"/>
        <v>12575.166666666666</v>
      </c>
    </row>
    <row r="653" spans="1:13" x14ac:dyDescent="0.3">
      <c r="A653">
        <v>100651</v>
      </c>
      <c r="B653" t="s">
        <v>10</v>
      </c>
      <c r="C653" t="s">
        <v>14</v>
      </c>
      <c r="D653" t="s">
        <v>15</v>
      </c>
      <c r="E653" s="1">
        <v>45213</v>
      </c>
      <c r="F653" s="4">
        <v>52386</v>
      </c>
      <c r="G653" s="4">
        <v>308168</v>
      </c>
      <c r="H653" s="2">
        <v>4576</v>
      </c>
      <c r="I653" s="16">
        <v>4</v>
      </c>
      <c r="J653" s="1">
        <v>45217</v>
      </c>
      <c r="K653" s="3">
        <v>0.17</v>
      </c>
      <c r="L653" s="13">
        <f t="shared" si="22"/>
        <v>14.849043378936164</v>
      </c>
      <c r="M653" s="16">
        <f t="shared" si="23"/>
        <v>13096.5</v>
      </c>
    </row>
    <row r="654" spans="1:13" x14ac:dyDescent="0.3">
      <c r="A654">
        <v>100652</v>
      </c>
      <c r="B654" t="s">
        <v>13</v>
      </c>
      <c r="C654" t="s">
        <v>23</v>
      </c>
      <c r="D654" t="s">
        <v>24</v>
      </c>
      <c r="E654" s="1">
        <v>45214</v>
      </c>
      <c r="F654" s="4">
        <v>33202</v>
      </c>
      <c r="G654" s="4">
        <v>647302</v>
      </c>
      <c r="H654" s="2">
        <v>374</v>
      </c>
      <c r="I654" s="16">
        <v>21</v>
      </c>
      <c r="J654" s="1">
        <v>45235</v>
      </c>
      <c r="K654" s="3">
        <v>5.1299999999999998E-2</v>
      </c>
      <c r="L654" s="13">
        <f t="shared" si="22"/>
        <v>0.57778285869655899</v>
      </c>
      <c r="M654" s="16">
        <f t="shared" si="23"/>
        <v>1581.047619047619</v>
      </c>
    </row>
    <row r="655" spans="1:13" x14ac:dyDescent="0.3">
      <c r="A655">
        <v>100653</v>
      </c>
      <c r="B655" t="s">
        <v>18</v>
      </c>
      <c r="C655" t="s">
        <v>20</v>
      </c>
      <c r="D655" t="s">
        <v>17</v>
      </c>
      <c r="E655" s="1">
        <v>45215</v>
      </c>
      <c r="F655" s="4">
        <v>17818</v>
      </c>
      <c r="G655" s="4">
        <v>875497</v>
      </c>
      <c r="H655" s="2">
        <v>2324</v>
      </c>
      <c r="I655" s="16">
        <v>26</v>
      </c>
      <c r="J655" s="1">
        <v>45241</v>
      </c>
      <c r="K655" s="3">
        <v>2.0400000000000001E-2</v>
      </c>
      <c r="L655" s="13">
        <f t="shared" si="22"/>
        <v>2.6544922484029074</v>
      </c>
      <c r="M655" s="16">
        <f t="shared" si="23"/>
        <v>685.30769230769226</v>
      </c>
    </row>
    <row r="656" spans="1:13" x14ac:dyDescent="0.3">
      <c r="A656">
        <v>100654</v>
      </c>
      <c r="B656" t="s">
        <v>10</v>
      </c>
      <c r="C656" t="s">
        <v>16</v>
      </c>
      <c r="D656" t="s">
        <v>24</v>
      </c>
      <c r="E656" s="1">
        <v>45216</v>
      </c>
      <c r="F656" s="4">
        <v>38813</v>
      </c>
      <c r="G656" s="4">
        <v>990310</v>
      </c>
      <c r="H656" s="2">
        <v>695</v>
      </c>
      <c r="I656" s="16">
        <v>4</v>
      </c>
      <c r="J656" s="1">
        <v>45220</v>
      </c>
      <c r="K656" s="3">
        <v>3.9199999999999999E-2</v>
      </c>
      <c r="L656" s="13">
        <f t="shared" si="22"/>
        <v>0.70180044632488825</v>
      </c>
      <c r="M656" s="16">
        <f t="shared" si="23"/>
        <v>9703.25</v>
      </c>
    </row>
    <row r="657" spans="1:13" x14ac:dyDescent="0.3">
      <c r="A657">
        <v>100655</v>
      </c>
      <c r="B657" t="s">
        <v>18</v>
      </c>
      <c r="C657" t="s">
        <v>11</v>
      </c>
      <c r="D657" t="s">
        <v>24</v>
      </c>
      <c r="E657" s="1">
        <v>45217</v>
      </c>
      <c r="F657" s="4">
        <v>5199</v>
      </c>
      <c r="G657" s="4">
        <v>88483</v>
      </c>
      <c r="H657" s="2">
        <v>4454</v>
      </c>
      <c r="I657" s="16">
        <v>24</v>
      </c>
      <c r="J657" s="1">
        <v>45241</v>
      </c>
      <c r="K657" s="3">
        <v>5.8799999999999998E-2</v>
      </c>
      <c r="L657" s="13">
        <f t="shared" si="22"/>
        <v>50.337352937852472</v>
      </c>
      <c r="M657" s="16">
        <f t="shared" si="23"/>
        <v>216.625</v>
      </c>
    </row>
    <row r="658" spans="1:13" x14ac:dyDescent="0.3">
      <c r="A658">
        <v>100656</v>
      </c>
      <c r="B658" t="s">
        <v>10</v>
      </c>
      <c r="C658" t="s">
        <v>14</v>
      </c>
      <c r="D658" t="s">
        <v>15</v>
      </c>
      <c r="E658" s="1">
        <v>45218</v>
      </c>
      <c r="F658" s="4">
        <v>36610</v>
      </c>
      <c r="G658" s="4">
        <v>473145</v>
      </c>
      <c r="H658" s="2">
        <v>3926</v>
      </c>
      <c r="I658" s="16">
        <v>3</v>
      </c>
      <c r="J658" s="1">
        <v>45221</v>
      </c>
      <c r="K658" s="3">
        <v>7.7399999999999997E-2</v>
      </c>
      <c r="L658" s="13">
        <f t="shared" si="22"/>
        <v>8.2976677339927498</v>
      </c>
      <c r="M658" s="16">
        <f t="shared" si="23"/>
        <v>12203.333333333334</v>
      </c>
    </row>
    <row r="659" spans="1:13" x14ac:dyDescent="0.3">
      <c r="A659">
        <v>100657</v>
      </c>
      <c r="B659" t="s">
        <v>18</v>
      </c>
      <c r="C659" t="s">
        <v>16</v>
      </c>
      <c r="D659" t="s">
        <v>12</v>
      </c>
      <c r="E659" s="1">
        <v>45219</v>
      </c>
      <c r="F659" s="4">
        <v>32878</v>
      </c>
      <c r="G659" s="4">
        <v>357018</v>
      </c>
      <c r="H659" s="2">
        <v>2723</v>
      </c>
      <c r="I659" s="16">
        <v>14</v>
      </c>
      <c r="J659" s="1">
        <v>45233</v>
      </c>
      <c r="K659" s="3">
        <v>9.2100000000000001E-2</v>
      </c>
      <c r="L659" s="13">
        <f t="shared" si="22"/>
        <v>7.6270664224212785</v>
      </c>
      <c r="M659" s="16">
        <f t="shared" si="23"/>
        <v>2348.4285714285716</v>
      </c>
    </row>
    <row r="660" spans="1:13" x14ac:dyDescent="0.3">
      <c r="A660">
        <v>100658</v>
      </c>
      <c r="B660" t="s">
        <v>13</v>
      </c>
      <c r="C660" t="s">
        <v>23</v>
      </c>
      <c r="D660" t="s">
        <v>24</v>
      </c>
      <c r="E660" s="1">
        <v>45220</v>
      </c>
      <c r="F660" s="4">
        <v>2859</v>
      </c>
      <c r="G660" s="4">
        <v>129471</v>
      </c>
      <c r="H660" s="2">
        <v>1878</v>
      </c>
      <c r="I660" s="16">
        <v>7</v>
      </c>
      <c r="J660" s="1">
        <v>45227</v>
      </c>
      <c r="K660" s="3">
        <v>2.2100000000000002E-2</v>
      </c>
      <c r="L660" s="13">
        <f t="shared" si="22"/>
        <v>14.505178765901244</v>
      </c>
      <c r="M660" s="16">
        <f t="shared" si="23"/>
        <v>408.42857142857144</v>
      </c>
    </row>
    <row r="661" spans="1:13" x14ac:dyDescent="0.3">
      <c r="A661">
        <v>100659</v>
      </c>
      <c r="B661" t="s">
        <v>18</v>
      </c>
      <c r="C661" t="s">
        <v>25</v>
      </c>
      <c r="D661" t="s">
        <v>17</v>
      </c>
      <c r="E661" s="1">
        <v>45221</v>
      </c>
      <c r="F661" s="4">
        <v>78783</v>
      </c>
      <c r="G661" s="4">
        <v>618445</v>
      </c>
      <c r="H661" s="2">
        <v>1930</v>
      </c>
      <c r="I661" s="16">
        <v>13</v>
      </c>
      <c r="J661" s="1">
        <v>45234</v>
      </c>
      <c r="K661" s="3">
        <v>0.12740000000000001</v>
      </c>
      <c r="L661" s="13">
        <f t="shared" si="22"/>
        <v>3.1207302185319632</v>
      </c>
      <c r="M661" s="16">
        <f t="shared" si="23"/>
        <v>6060.2307692307695</v>
      </c>
    </row>
    <row r="662" spans="1:13" x14ac:dyDescent="0.3">
      <c r="A662">
        <v>100660</v>
      </c>
      <c r="B662" t="s">
        <v>18</v>
      </c>
      <c r="C662" t="s">
        <v>23</v>
      </c>
      <c r="D662" t="s">
        <v>17</v>
      </c>
      <c r="E662" s="1">
        <v>45222</v>
      </c>
      <c r="F662" s="4">
        <v>26787</v>
      </c>
      <c r="G662" s="4">
        <v>816211</v>
      </c>
      <c r="H662" s="2">
        <v>3851</v>
      </c>
      <c r="I662" s="16">
        <v>14</v>
      </c>
      <c r="J662" s="1">
        <v>45236</v>
      </c>
      <c r="K662" s="3">
        <v>3.2800000000000003E-2</v>
      </c>
      <c r="L662" s="13">
        <f t="shared" si="22"/>
        <v>4.7181427351505922</v>
      </c>
      <c r="M662" s="16">
        <f t="shared" si="23"/>
        <v>1913.3571428571429</v>
      </c>
    </row>
    <row r="663" spans="1:13" x14ac:dyDescent="0.3">
      <c r="A663">
        <v>100661</v>
      </c>
      <c r="B663" t="s">
        <v>10</v>
      </c>
      <c r="C663" t="s">
        <v>21</v>
      </c>
      <c r="D663" t="s">
        <v>22</v>
      </c>
      <c r="E663" s="1">
        <v>45223</v>
      </c>
      <c r="F663" s="4">
        <v>8826</v>
      </c>
      <c r="G663" s="4">
        <v>112776</v>
      </c>
      <c r="H663" s="2">
        <v>4115</v>
      </c>
      <c r="I663" s="16">
        <v>20</v>
      </c>
      <c r="J663" s="1">
        <v>45243</v>
      </c>
      <c r="K663" s="3">
        <v>7.8299999999999995E-2</v>
      </c>
      <c r="L663" s="13">
        <f t="shared" si="22"/>
        <v>36.488259913456766</v>
      </c>
      <c r="M663" s="16">
        <f t="shared" si="23"/>
        <v>441.3</v>
      </c>
    </row>
    <row r="664" spans="1:13" x14ac:dyDescent="0.3">
      <c r="A664">
        <v>100662</v>
      </c>
      <c r="B664" t="s">
        <v>18</v>
      </c>
      <c r="C664" t="s">
        <v>25</v>
      </c>
      <c r="D664" t="s">
        <v>22</v>
      </c>
      <c r="E664" s="1">
        <v>45224</v>
      </c>
      <c r="F664" s="4">
        <v>79948</v>
      </c>
      <c r="G664" s="4">
        <v>511885</v>
      </c>
      <c r="H664" s="2">
        <v>2760</v>
      </c>
      <c r="I664" s="16">
        <v>6</v>
      </c>
      <c r="J664" s="1">
        <v>45230</v>
      </c>
      <c r="K664" s="3">
        <v>0.15620000000000001</v>
      </c>
      <c r="L664" s="13">
        <f t="shared" si="22"/>
        <v>5.3918360569268495</v>
      </c>
      <c r="M664" s="16">
        <f t="shared" si="23"/>
        <v>13324.666666666666</v>
      </c>
    </row>
    <row r="665" spans="1:13" x14ac:dyDescent="0.3">
      <c r="A665">
        <v>100663</v>
      </c>
      <c r="B665" t="s">
        <v>18</v>
      </c>
      <c r="C665" t="s">
        <v>20</v>
      </c>
      <c r="D665" t="s">
        <v>17</v>
      </c>
      <c r="E665" s="1">
        <v>45225</v>
      </c>
      <c r="F665" s="4">
        <v>38689</v>
      </c>
      <c r="G665" s="4">
        <v>658425</v>
      </c>
      <c r="H665" s="2">
        <v>3448</v>
      </c>
      <c r="I665" s="16">
        <v>1</v>
      </c>
      <c r="J665" s="1">
        <v>45226</v>
      </c>
      <c r="K665" s="3">
        <v>5.8799999999999998E-2</v>
      </c>
      <c r="L665" s="13">
        <f t="shared" si="22"/>
        <v>5.2367391882142993</v>
      </c>
      <c r="M665" s="16">
        <f t="shared" si="23"/>
        <v>38689</v>
      </c>
    </row>
    <row r="666" spans="1:13" x14ac:dyDescent="0.3">
      <c r="A666">
        <v>100664</v>
      </c>
      <c r="B666" t="s">
        <v>18</v>
      </c>
      <c r="C666" t="s">
        <v>14</v>
      </c>
      <c r="D666" t="s">
        <v>12</v>
      </c>
      <c r="E666" s="1">
        <v>45226</v>
      </c>
      <c r="F666" s="4">
        <v>27354</v>
      </c>
      <c r="G666" s="4">
        <v>635553</v>
      </c>
      <c r="H666" s="2">
        <v>2713</v>
      </c>
      <c r="I666" s="16">
        <v>10</v>
      </c>
      <c r="J666" s="1">
        <v>45236</v>
      </c>
      <c r="K666" s="3">
        <v>4.2999999999999997E-2</v>
      </c>
      <c r="L666" s="13">
        <f t="shared" si="22"/>
        <v>4.2687234581537652</v>
      </c>
      <c r="M666" s="16">
        <f t="shared" si="23"/>
        <v>2735.4</v>
      </c>
    </row>
    <row r="667" spans="1:13" x14ac:dyDescent="0.3">
      <c r="A667">
        <v>100665</v>
      </c>
      <c r="B667" t="s">
        <v>10</v>
      </c>
      <c r="C667" t="s">
        <v>23</v>
      </c>
      <c r="D667" t="s">
        <v>24</v>
      </c>
      <c r="E667" s="1">
        <v>45227</v>
      </c>
      <c r="F667" s="4">
        <v>9855</v>
      </c>
      <c r="G667" s="4">
        <v>929410</v>
      </c>
      <c r="H667" s="2">
        <v>4094</v>
      </c>
      <c r="I667" s="16">
        <v>4</v>
      </c>
      <c r="J667" s="1">
        <v>45231</v>
      </c>
      <c r="K667" s="3">
        <v>1.06E-2</v>
      </c>
      <c r="L667" s="13">
        <f t="shared" si="22"/>
        <v>4.4049450726805173</v>
      </c>
      <c r="M667" s="16">
        <f t="shared" si="23"/>
        <v>2463.75</v>
      </c>
    </row>
    <row r="668" spans="1:13" x14ac:dyDescent="0.3">
      <c r="A668">
        <v>100666</v>
      </c>
      <c r="B668" t="s">
        <v>10</v>
      </c>
      <c r="C668" t="s">
        <v>25</v>
      </c>
      <c r="D668" t="s">
        <v>17</v>
      </c>
      <c r="E668" s="1">
        <v>45228</v>
      </c>
      <c r="F668" s="4">
        <v>78843</v>
      </c>
      <c r="G668" s="4">
        <v>268984</v>
      </c>
      <c r="H668" s="2">
        <v>4293</v>
      </c>
      <c r="I668" s="16">
        <v>17</v>
      </c>
      <c r="J668" s="1">
        <v>45245</v>
      </c>
      <c r="K668" s="3">
        <v>0.29310000000000003</v>
      </c>
      <c r="L668" s="13">
        <f t="shared" si="22"/>
        <v>15.960057103768253</v>
      </c>
      <c r="M668" s="16">
        <f t="shared" si="23"/>
        <v>4637.8235294117649</v>
      </c>
    </row>
    <row r="669" spans="1:13" x14ac:dyDescent="0.3">
      <c r="A669">
        <v>100667</v>
      </c>
      <c r="B669" t="s">
        <v>19</v>
      </c>
      <c r="C669" t="s">
        <v>23</v>
      </c>
      <c r="D669" t="s">
        <v>17</v>
      </c>
      <c r="E669" s="1">
        <v>45229</v>
      </c>
      <c r="F669" s="4">
        <v>11621</v>
      </c>
      <c r="G669" s="4">
        <v>633536</v>
      </c>
      <c r="H669" s="2">
        <v>1719</v>
      </c>
      <c r="I669" s="16">
        <v>26</v>
      </c>
      <c r="J669" s="1">
        <v>45255</v>
      </c>
      <c r="K669" s="3">
        <v>1.83E-2</v>
      </c>
      <c r="L669" s="13">
        <f t="shared" si="22"/>
        <v>2.7133422567936156</v>
      </c>
      <c r="M669" s="16">
        <f t="shared" si="23"/>
        <v>446.96153846153845</v>
      </c>
    </row>
    <row r="670" spans="1:13" x14ac:dyDescent="0.3">
      <c r="A670">
        <v>100668</v>
      </c>
      <c r="B670" t="s">
        <v>18</v>
      </c>
      <c r="C670" t="s">
        <v>25</v>
      </c>
      <c r="D670" t="s">
        <v>17</v>
      </c>
      <c r="E670" s="1">
        <v>45230</v>
      </c>
      <c r="F670" s="4">
        <v>47984</v>
      </c>
      <c r="G670" s="4">
        <v>772471</v>
      </c>
      <c r="H670" s="2">
        <v>1124</v>
      </c>
      <c r="I670" s="16">
        <v>12</v>
      </c>
      <c r="J670" s="1">
        <v>45242</v>
      </c>
      <c r="K670" s="3">
        <v>6.2100000000000002E-2</v>
      </c>
      <c r="L670" s="13">
        <f t="shared" si="22"/>
        <v>1.4550708052470578</v>
      </c>
      <c r="M670" s="16">
        <f t="shared" si="23"/>
        <v>3998.6666666666665</v>
      </c>
    </row>
    <row r="671" spans="1:13" x14ac:dyDescent="0.3">
      <c r="A671">
        <v>100669</v>
      </c>
      <c r="B671" t="s">
        <v>13</v>
      </c>
      <c r="C671" t="s">
        <v>11</v>
      </c>
      <c r="D671" t="s">
        <v>17</v>
      </c>
      <c r="E671" s="1">
        <v>45231</v>
      </c>
      <c r="F671" s="4">
        <v>2492</v>
      </c>
      <c r="G671" s="4">
        <v>286806</v>
      </c>
      <c r="H671" s="2">
        <v>2970</v>
      </c>
      <c r="I671" s="16">
        <v>18</v>
      </c>
      <c r="J671" s="1">
        <v>45249</v>
      </c>
      <c r="K671" s="3">
        <v>8.6999999999999994E-3</v>
      </c>
      <c r="L671" s="13">
        <f t="shared" si="22"/>
        <v>10.355431894730236</v>
      </c>
      <c r="M671" s="16">
        <f t="shared" si="23"/>
        <v>138.44444444444446</v>
      </c>
    </row>
    <row r="672" spans="1:13" x14ac:dyDescent="0.3">
      <c r="A672">
        <v>100670</v>
      </c>
      <c r="B672" t="s">
        <v>18</v>
      </c>
      <c r="C672" t="s">
        <v>21</v>
      </c>
      <c r="D672" t="s">
        <v>17</v>
      </c>
      <c r="E672" s="1">
        <v>45232</v>
      </c>
      <c r="F672" s="4">
        <v>61321</v>
      </c>
      <c r="G672" s="4">
        <v>427231</v>
      </c>
      <c r="H672" s="2">
        <v>2462</v>
      </c>
      <c r="I672" s="16">
        <v>8</v>
      </c>
      <c r="J672" s="1">
        <v>45240</v>
      </c>
      <c r="K672" s="3">
        <v>0.14349999999999999</v>
      </c>
      <c r="L672" s="13">
        <f t="shared" si="22"/>
        <v>5.7626904414707729</v>
      </c>
      <c r="M672" s="16">
        <f t="shared" si="23"/>
        <v>7665.125</v>
      </c>
    </row>
    <row r="673" spans="1:13" x14ac:dyDescent="0.3">
      <c r="A673">
        <v>100671</v>
      </c>
      <c r="B673" t="s">
        <v>13</v>
      </c>
      <c r="C673" t="s">
        <v>20</v>
      </c>
      <c r="D673" t="s">
        <v>17</v>
      </c>
      <c r="E673" s="1">
        <v>45233</v>
      </c>
      <c r="F673" s="4">
        <v>56506</v>
      </c>
      <c r="G673" s="4">
        <v>319503</v>
      </c>
      <c r="H673" s="2">
        <v>1934</v>
      </c>
      <c r="I673" s="16">
        <v>7</v>
      </c>
      <c r="J673" s="1">
        <v>45240</v>
      </c>
      <c r="K673" s="3">
        <v>0.1769</v>
      </c>
      <c r="L673" s="13">
        <f t="shared" si="22"/>
        <v>6.0531513006137656</v>
      </c>
      <c r="M673" s="16">
        <f t="shared" si="23"/>
        <v>8072.2857142857147</v>
      </c>
    </row>
    <row r="674" spans="1:13" x14ac:dyDescent="0.3">
      <c r="A674">
        <v>100672</v>
      </c>
      <c r="B674" t="s">
        <v>19</v>
      </c>
      <c r="C674" t="s">
        <v>23</v>
      </c>
      <c r="D674" t="s">
        <v>15</v>
      </c>
      <c r="E674" s="1">
        <v>45234</v>
      </c>
      <c r="F674" s="4">
        <v>10041</v>
      </c>
      <c r="G674" s="4">
        <v>945543</v>
      </c>
      <c r="H674" s="2">
        <v>1203</v>
      </c>
      <c r="I674" s="16">
        <v>16</v>
      </c>
      <c r="J674" s="1">
        <v>45250</v>
      </c>
      <c r="K674" s="3">
        <v>1.06E-2</v>
      </c>
      <c r="L674" s="13">
        <f t="shared" si="22"/>
        <v>1.2722848141226788</v>
      </c>
      <c r="M674" s="16">
        <f t="shared" si="23"/>
        <v>627.5625</v>
      </c>
    </row>
    <row r="675" spans="1:13" x14ac:dyDescent="0.3">
      <c r="A675">
        <v>100673</v>
      </c>
      <c r="B675" t="s">
        <v>10</v>
      </c>
      <c r="C675" t="s">
        <v>11</v>
      </c>
      <c r="D675" t="s">
        <v>24</v>
      </c>
      <c r="E675" s="1">
        <v>45235</v>
      </c>
      <c r="F675" s="4">
        <v>70444</v>
      </c>
      <c r="G675" s="4">
        <v>451367</v>
      </c>
      <c r="H675" s="2">
        <v>171</v>
      </c>
      <c r="I675" s="16">
        <v>23</v>
      </c>
      <c r="J675" s="1">
        <v>45258</v>
      </c>
      <c r="K675" s="3">
        <v>0.15609999999999999</v>
      </c>
      <c r="L675" s="13">
        <f t="shared" si="22"/>
        <v>0.37884914049985929</v>
      </c>
      <c r="M675" s="16">
        <f t="shared" si="23"/>
        <v>3062.782608695652</v>
      </c>
    </row>
    <row r="676" spans="1:13" x14ac:dyDescent="0.3">
      <c r="A676">
        <v>100674</v>
      </c>
      <c r="B676" t="s">
        <v>13</v>
      </c>
      <c r="C676" t="s">
        <v>20</v>
      </c>
      <c r="D676" t="s">
        <v>15</v>
      </c>
      <c r="E676" s="1">
        <v>45236</v>
      </c>
      <c r="F676" s="4">
        <v>43497</v>
      </c>
      <c r="G676" s="4">
        <v>518351</v>
      </c>
      <c r="H676" s="2">
        <v>3734</v>
      </c>
      <c r="I676" s="16">
        <v>13</v>
      </c>
      <c r="J676" s="1">
        <v>45249</v>
      </c>
      <c r="K676" s="3">
        <v>8.3900000000000002E-2</v>
      </c>
      <c r="L676" s="13">
        <f t="shared" si="22"/>
        <v>7.2036129958271511</v>
      </c>
      <c r="M676" s="16">
        <f t="shared" si="23"/>
        <v>3345.9230769230771</v>
      </c>
    </row>
    <row r="677" spans="1:13" x14ac:dyDescent="0.3">
      <c r="A677">
        <v>100675</v>
      </c>
      <c r="B677" t="s">
        <v>18</v>
      </c>
      <c r="C677" t="s">
        <v>25</v>
      </c>
      <c r="D677" t="s">
        <v>22</v>
      </c>
      <c r="E677" s="1">
        <v>45237</v>
      </c>
      <c r="F677" s="4">
        <v>12921</v>
      </c>
      <c r="G677" s="4">
        <v>436110</v>
      </c>
      <c r="H677" s="2">
        <v>3101</v>
      </c>
      <c r="I677" s="16">
        <v>5</v>
      </c>
      <c r="J677" s="1">
        <v>45242</v>
      </c>
      <c r="K677" s="3">
        <v>2.9600000000000001E-2</v>
      </c>
      <c r="L677" s="13">
        <f t="shared" si="22"/>
        <v>7.1105913645639864</v>
      </c>
      <c r="M677" s="16">
        <f t="shared" si="23"/>
        <v>2584.1999999999998</v>
      </c>
    </row>
    <row r="678" spans="1:13" x14ac:dyDescent="0.3">
      <c r="A678">
        <v>100676</v>
      </c>
      <c r="B678" t="s">
        <v>19</v>
      </c>
      <c r="C678" t="s">
        <v>21</v>
      </c>
      <c r="D678" t="s">
        <v>15</v>
      </c>
      <c r="E678" s="1">
        <v>45238</v>
      </c>
      <c r="F678" s="4">
        <v>89779</v>
      </c>
      <c r="G678" s="4">
        <v>15069</v>
      </c>
      <c r="H678" s="2">
        <v>403</v>
      </c>
      <c r="I678" s="16">
        <v>21</v>
      </c>
      <c r="J678" s="1">
        <v>45259</v>
      </c>
      <c r="K678" s="3">
        <v>5.9579000000000004</v>
      </c>
      <c r="L678" s="13">
        <f t="shared" si="22"/>
        <v>26.74364589554715</v>
      </c>
      <c r="M678" s="16">
        <f t="shared" si="23"/>
        <v>4275.1904761904761</v>
      </c>
    </row>
    <row r="679" spans="1:13" x14ac:dyDescent="0.3">
      <c r="A679">
        <v>100677</v>
      </c>
      <c r="B679" t="s">
        <v>13</v>
      </c>
      <c r="C679" t="s">
        <v>14</v>
      </c>
      <c r="D679" t="s">
        <v>24</v>
      </c>
      <c r="E679" s="1">
        <v>45239</v>
      </c>
      <c r="F679" s="4">
        <v>53581</v>
      </c>
      <c r="G679" s="4">
        <v>88386</v>
      </c>
      <c r="H679" s="2">
        <v>3931</v>
      </c>
      <c r="I679" s="16">
        <v>29</v>
      </c>
      <c r="J679" s="1">
        <v>45268</v>
      </c>
      <c r="K679" s="3">
        <v>0.60619999999999996</v>
      </c>
      <c r="L679" s="13">
        <f t="shared" si="22"/>
        <v>44.475369402394044</v>
      </c>
      <c r="M679" s="16">
        <f t="shared" si="23"/>
        <v>1847.6206896551723</v>
      </c>
    </row>
    <row r="680" spans="1:13" x14ac:dyDescent="0.3">
      <c r="A680">
        <v>100678</v>
      </c>
      <c r="B680" t="s">
        <v>18</v>
      </c>
      <c r="C680" t="s">
        <v>16</v>
      </c>
      <c r="D680" t="s">
        <v>22</v>
      </c>
      <c r="E680" s="1">
        <v>45240</v>
      </c>
      <c r="F680" s="4">
        <v>87450</v>
      </c>
      <c r="G680" s="4">
        <v>16100</v>
      </c>
      <c r="H680" s="2">
        <v>373</v>
      </c>
      <c r="I680" s="16">
        <v>7</v>
      </c>
      <c r="J680" s="1">
        <v>45247</v>
      </c>
      <c r="K680" s="3">
        <v>5.4317000000000002</v>
      </c>
      <c r="L680" s="13">
        <f t="shared" si="22"/>
        <v>23.167701863354036</v>
      </c>
      <c r="M680" s="16">
        <f t="shared" si="23"/>
        <v>12492.857142857143</v>
      </c>
    </row>
    <row r="681" spans="1:13" x14ac:dyDescent="0.3">
      <c r="A681">
        <v>100679</v>
      </c>
      <c r="B681" t="s">
        <v>18</v>
      </c>
      <c r="C681" t="s">
        <v>11</v>
      </c>
      <c r="D681" t="s">
        <v>17</v>
      </c>
      <c r="E681" s="1">
        <v>45241</v>
      </c>
      <c r="F681" s="4">
        <v>58314</v>
      </c>
      <c r="G681" s="4">
        <v>154027</v>
      </c>
      <c r="H681" s="2">
        <v>4913</v>
      </c>
      <c r="I681" s="16">
        <v>13</v>
      </c>
      <c r="J681" s="1">
        <v>45254</v>
      </c>
      <c r="K681" s="3">
        <v>0.37859999999999999</v>
      </c>
      <c r="L681" s="13">
        <f t="shared" si="22"/>
        <v>31.897005070539581</v>
      </c>
      <c r="M681" s="16">
        <f t="shared" si="23"/>
        <v>4485.6923076923076</v>
      </c>
    </row>
    <row r="682" spans="1:13" x14ac:dyDescent="0.3">
      <c r="A682">
        <v>100680</v>
      </c>
      <c r="B682" t="s">
        <v>18</v>
      </c>
      <c r="C682" t="s">
        <v>23</v>
      </c>
      <c r="D682" t="s">
        <v>15</v>
      </c>
      <c r="E682" s="1">
        <v>45242</v>
      </c>
      <c r="F682" s="4">
        <v>90567</v>
      </c>
      <c r="G682" s="4">
        <v>447275</v>
      </c>
      <c r="H682" s="2">
        <v>2713</v>
      </c>
      <c r="I682" s="16">
        <v>23</v>
      </c>
      <c r="J682" s="1">
        <v>45265</v>
      </c>
      <c r="K682" s="3">
        <v>0.20250000000000001</v>
      </c>
      <c r="L682" s="13">
        <f t="shared" si="22"/>
        <v>6.0656195852663348</v>
      </c>
      <c r="M682" s="16">
        <f t="shared" si="23"/>
        <v>3937.695652173913</v>
      </c>
    </row>
    <row r="683" spans="1:13" x14ac:dyDescent="0.3">
      <c r="A683">
        <v>100681</v>
      </c>
      <c r="B683" t="s">
        <v>18</v>
      </c>
      <c r="C683" t="s">
        <v>20</v>
      </c>
      <c r="D683" t="s">
        <v>15</v>
      </c>
      <c r="E683" s="1">
        <v>45243</v>
      </c>
      <c r="F683" s="4">
        <v>52098</v>
      </c>
      <c r="G683" s="4">
        <v>959483</v>
      </c>
      <c r="H683" s="2">
        <v>929</v>
      </c>
      <c r="I683" s="16">
        <v>19</v>
      </c>
      <c r="J683" s="1">
        <v>45262</v>
      </c>
      <c r="K683" s="3">
        <v>5.4300000000000001E-2</v>
      </c>
      <c r="L683" s="13">
        <f t="shared" si="22"/>
        <v>0.96822976540491079</v>
      </c>
      <c r="M683" s="16">
        <f t="shared" si="23"/>
        <v>2742</v>
      </c>
    </row>
    <row r="684" spans="1:13" x14ac:dyDescent="0.3">
      <c r="A684">
        <v>100682</v>
      </c>
      <c r="B684" t="s">
        <v>18</v>
      </c>
      <c r="C684" t="s">
        <v>16</v>
      </c>
      <c r="D684" t="s">
        <v>22</v>
      </c>
      <c r="E684" s="1">
        <v>45244</v>
      </c>
      <c r="F684" s="4">
        <v>45897</v>
      </c>
      <c r="G684" s="4">
        <v>617278</v>
      </c>
      <c r="H684" s="2">
        <v>4681</v>
      </c>
      <c r="I684" s="16">
        <v>15</v>
      </c>
      <c r="J684" s="1">
        <v>45259</v>
      </c>
      <c r="K684" s="3">
        <v>7.4399999999999994E-2</v>
      </c>
      <c r="L684" s="13">
        <f t="shared" si="22"/>
        <v>7.583293102945512</v>
      </c>
      <c r="M684" s="16">
        <f t="shared" si="23"/>
        <v>3059.8</v>
      </c>
    </row>
    <row r="685" spans="1:13" x14ac:dyDescent="0.3">
      <c r="A685">
        <v>100683</v>
      </c>
      <c r="B685" t="s">
        <v>13</v>
      </c>
      <c r="C685" t="s">
        <v>25</v>
      </c>
      <c r="D685" t="s">
        <v>24</v>
      </c>
      <c r="E685" s="1">
        <v>45245</v>
      </c>
      <c r="F685" s="4">
        <v>96933</v>
      </c>
      <c r="G685" s="4">
        <v>669930</v>
      </c>
      <c r="H685" s="2">
        <v>4463</v>
      </c>
      <c r="I685" s="16">
        <v>6</v>
      </c>
      <c r="J685" s="1">
        <v>45251</v>
      </c>
      <c r="K685" s="3">
        <v>0.1447</v>
      </c>
      <c r="L685" s="13">
        <f t="shared" si="22"/>
        <v>6.6618900482139924</v>
      </c>
      <c r="M685" s="16">
        <f t="shared" si="23"/>
        <v>16155.5</v>
      </c>
    </row>
    <row r="686" spans="1:13" x14ac:dyDescent="0.3">
      <c r="A686">
        <v>100684</v>
      </c>
      <c r="B686" t="s">
        <v>13</v>
      </c>
      <c r="C686" t="s">
        <v>21</v>
      </c>
      <c r="D686" t="s">
        <v>12</v>
      </c>
      <c r="E686" s="1">
        <v>45246</v>
      </c>
      <c r="F686" s="4">
        <v>204</v>
      </c>
      <c r="G686" s="4">
        <v>925032</v>
      </c>
      <c r="H686" s="2">
        <v>3030</v>
      </c>
      <c r="I686" s="16">
        <v>10</v>
      </c>
      <c r="J686" s="1">
        <v>45256</v>
      </c>
      <c r="K686" s="3">
        <v>2.0000000000000001E-4</v>
      </c>
      <c r="L686" s="13">
        <f t="shared" si="22"/>
        <v>3.275562358923799</v>
      </c>
      <c r="M686" s="16">
        <f t="shared" si="23"/>
        <v>20.399999999999999</v>
      </c>
    </row>
    <row r="687" spans="1:13" x14ac:dyDescent="0.3">
      <c r="A687">
        <v>100685</v>
      </c>
      <c r="B687" t="s">
        <v>18</v>
      </c>
      <c r="C687" t="s">
        <v>20</v>
      </c>
      <c r="D687" t="s">
        <v>12</v>
      </c>
      <c r="E687" s="1">
        <v>45247</v>
      </c>
      <c r="F687" s="4">
        <v>73846</v>
      </c>
      <c r="G687" s="4">
        <v>605780</v>
      </c>
      <c r="H687" s="2">
        <v>326</v>
      </c>
      <c r="I687" s="16">
        <v>15</v>
      </c>
      <c r="J687" s="1">
        <v>45262</v>
      </c>
      <c r="K687" s="3">
        <v>0.12189999999999999</v>
      </c>
      <c r="L687" s="13">
        <f t="shared" si="22"/>
        <v>0.53814916306249794</v>
      </c>
      <c r="M687" s="16">
        <f t="shared" si="23"/>
        <v>4923.0666666666666</v>
      </c>
    </row>
    <row r="688" spans="1:13" x14ac:dyDescent="0.3">
      <c r="A688">
        <v>100686</v>
      </c>
      <c r="B688" t="s">
        <v>13</v>
      </c>
      <c r="C688" t="s">
        <v>23</v>
      </c>
      <c r="D688" t="s">
        <v>15</v>
      </c>
      <c r="E688" s="1">
        <v>45248</v>
      </c>
      <c r="F688" s="4">
        <v>59391</v>
      </c>
      <c r="G688" s="4">
        <v>401179</v>
      </c>
      <c r="H688" s="2">
        <v>545</v>
      </c>
      <c r="I688" s="16">
        <v>1</v>
      </c>
      <c r="J688" s="1">
        <v>45249</v>
      </c>
      <c r="K688" s="3">
        <v>0.14799999999999999</v>
      </c>
      <c r="L688" s="13">
        <f t="shared" si="22"/>
        <v>1.3584958335306685</v>
      </c>
      <c r="M688" s="16">
        <f t="shared" si="23"/>
        <v>59391</v>
      </c>
    </row>
    <row r="689" spans="1:13" x14ac:dyDescent="0.3">
      <c r="A689">
        <v>100687</v>
      </c>
      <c r="B689" t="s">
        <v>19</v>
      </c>
      <c r="C689" t="s">
        <v>14</v>
      </c>
      <c r="D689" t="s">
        <v>24</v>
      </c>
      <c r="E689" s="1">
        <v>45249</v>
      </c>
      <c r="F689" s="4">
        <v>16867</v>
      </c>
      <c r="G689" s="4">
        <v>564531</v>
      </c>
      <c r="H689" s="2">
        <v>2855</v>
      </c>
      <c r="I689" s="16">
        <v>27</v>
      </c>
      <c r="J689" s="1">
        <v>45276</v>
      </c>
      <c r="K689" s="3">
        <v>2.9899999999999999E-2</v>
      </c>
      <c r="L689" s="13">
        <f t="shared" si="22"/>
        <v>5.0572953478196947</v>
      </c>
      <c r="M689" s="16">
        <f t="shared" si="23"/>
        <v>624.7037037037037</v>
      </c>
    </row>
    <row r="690" spans="1:13" x14ac:dyDescent="0.3">
      <c r="A690">
        <v>100688</v>
      </c>
      <c r="B690" t="s">
        <v>10</v>
      </c>
      <c r="C690" t="s">
        <v>14</v>
      </c>
      <c r="D690" t="s">
        <v>17</v>
      </c>
      <c r="E690" s="1">
        <v>45250</v>
      </c>
      <c r="F690" s="4">
        <v>51380</v>
      </c>
      <c r="G690" s="4">
        <v>902542</v>
      </c>
      <c r="H690" s="2">
        <v>2563</v>
      </c>
      <c r="I690" s="16">
        <v>29</v>
      </c>
      <c r="J690" s="1">
        <v>45279</v>
      </c>
      <c r="K690" s="3">
        <v>5.6899999999999999E-2</v>
      </c>
      <c r="L690" s="13">
        <f t="shared" si="22"/>
        <v>2.8397570417775571</v>
      </c>
      <c r="M690" s="16">
        <f t="shared" si="23"/>
        <v>1771.7241379310344</v>
      </c>
    </row>
    <row r="691" spans="1:13" x14ac:dyDescent="0.3">
      <c r="A691">
        <v>100689</v>
      </c>
      <c r="B691" t="s">
        <v>13</v>
      </c>
      <c r="C691" t="s">
        <v>20</v>
      </c>
      <c r="D691" t="s">
        <v>17</v>
      </c>
      <c r="E691" s="1">
        <v>45251</v>
      </c>
      <c r="F691" s="4">
        <v>28925</v>
      </c>
      <c r="G691" s="4">
        <v>375700</v>
      </c>
      <c r="H691" s="2">
        <v>2035</v>
      </c>
      <c r="I691" s="16">
        <v>12</v>
      </c>
      <c r="J691" s="1">
        <v>45263</v>
      </c>
      <c r="K691" s="3">
        <v>7.6999999999999999E-2</v>
      </c>
      <c r="L691" s="13">
        <f t="shared" si="22"/>
        <v>5.4165557625765235</v>
      </c>
      <c r="M691" s="16">
        <f t="shared" si="23"/>
        <v>2410.4166666666665</v>
      </c>
    </row>
    <row r="692" spans="1:13" x14ac:dyDescent="0.3">
      <c r="A692">
        <v>100690</v>
      </c>
      <c r="B692" t="s">
        <v>18</v>
      </c>
      <c r="C692" t="s">
        <v>16</v>
      </c>
      <c r="D692" t="s">
        <v>17</v>
      </c>
      <c r="E692" s="1">
        <v>45252</v>
      </c>
      <c r="F692" s="4">
        <v>453</v>
      </c>
      <c r="G692" s="4">
        <v>354128</v>
      </c>
      <c r="H692" s="2">
        <v>3233</v>
      </c>
      <c r="I692" s="16">
        <v>7</v>
      </c>
      <c r="J692" s="1">
        <v>45259</v>
      </c>
      <c r="K692" s="3">
        <v>1.2999999999999999E-3</v>
      </c>
      <c r="L692" s="13">
        <f t="shared" si="22"/>
        <v>9.1294673112546878</v>
      </c>
      <c r="M692" s="16">
        <f t="shared" si="23"/>
        <v>64.714285714285708</v>
      </c>
    </row>
    <row r="693" spans="1:13" x14ac:dyDescent="0.3">
      <c r="A693">
        <v>100691</v>
      </c>
      <c r="B693" t="s">
        <v>10</v>
      </c>
      <c r="C693" t="s">
        <v>14</v>
      </c>
      <c r="D693" t="s">
        <v>17</v>
      </c>
      <c r="E693" s="1">
        <v>45253</v>
      </c>
      <c r="F693" s="4">
        <v>53583</v>
      </c>
      <c r="G693" s="4">
        <v>130869</v>
      </c>
      <c r="H693" s="2">
        <v>1773</v>
      </c>
      <c r="I693" s="16">
        <v>18</v>
      </c>
      <c r="J693" s="1">
        <v>45271</v>
      </c>
      <c r="K693" s="3">
        <v>0.40939999999999999</v>
      </c>
      <c r="L693" s="13">
        <f t="shared" si="22"/>
        <v>13.54789904408225</v>
      </c>
      <c r="M693" s="16">
        <f t="shared" si="23"/>
        <v>2976.8333333333335</v>
      </c>
    </row>
    <row r="694" spans="1:13" x14ac:dyDescent="0.3">
      <c r="A694">
        <v>100692</v>
      </c>
      <c r="B694" t="s">
        <v>18</v>
      </c>
      <c r="C694" t="s">
        <v>25</v>
      </c>
      <c r="D694" t="s">
        <v>24</v>
      </c>
      <c r="E694" s="1">
        <v>45254</v>
      </c>
      <c r="F694" s="4">
        <v>25676</v>
      </c>
      <c r="G694" s="4">
        <v>87823</v>
      </c>
      <c r="H694" s="2">
        <v>3657</v>
      </c>
      <c r="I694" s="16">
        <v>15</v>
      </c>
      <c r="J694" s="1">
        <v>45269</v>
      </c>
      <c r="K694" s="3">
        <v>0.29239999999999999</v>
      </c>
      <c r="L694" s="13">
        <f t="shared" si="22"/>
        <v>41.640572515172565</v>
      </c>
      <c r="M694" s="16">
        <f t="shared" si="23"/>
        <v>1711.7333333333333</v>
      </c>
    </row>
    <row r="695" spans="1:13" x14ac:dyDescent="0.3">
      <c r="A695">
        <v>100693</v>
      </c>
      <c r="B695" t="s">
        <v>18</v>
      </c>
      <c r="C695" t="s">
        <v>16</v>
      </c>
      <c r="D695" t="s">
        <v>17</v>
      </c>
      <c r="E695" s="1">
        <v>45255</v>
      </c>
      <c r="F695" s="4">
        <v>79755</v>
      </c>
      <c r="G695" s="4">
        <v>547069</v>
      </c>
      <c r="H695" s="2">
        <v>2742</v>
      </c>
      <c r="I695" s="16">
        <v>13</v>
      </c>
      <c r="J695" s="1">
        <v>45268</v>
      </c>
      <c r="K695" s="3">
        <v>0.14580000000000001</v>
      </c>
      <c r="L695" s="13">
        <f t="shared" si="22"/>
        <v>5.0121648274714889</v>
      </c>
      <c r="M695" s="16">
        <f t="shared" si="23"/>
        <v>6135</v>
      </c>
    </row>
    <row r="696" spans="1:13" x14ac:dyDescent="0.3">
      <c r="A696">
        <v>100694</v>
      </c>
      <c r="B696" t="s">
        <v>19</v>
      </c>
      <c r="C696" t="s">
        <v>11</v>
      </c>
      <c r="D696" t="s">
        <v>12</v>
      </c>
      <c r="E696" s="1">
        <v>45256</v>
      </c>
      <c r="F696" s="4">
        <v>36702</v>
      </c>
      <c r="G696" s="4">
        <v>155368</v>
      </c>
      <c r="H696" s="2">
        <v>398</v>
      </c>
      <c r="I696" s="16">
        <v>14</v>
      </c>
      <c r="J696" s="1">
        <v>45270</v>
      </c>
      <c r="K696" s="3">
        <v>0.23619999999999999</v>
      </c>
      <c r="L696" s="13">
        <f t="shared" si="22"/>
        <v>2.5616600586993461</v>
      </c>
      <c r="M696" s="16">
        <f t="shared" si="23"/>
        <v>2621.5714285714284</v>
      </c>
    </row>
    <row r="697" spans="1:13" x14ac:dyDescent="0.3">
      <c r="A697">
        <v>100695</v>
      </c>
      <c r="B697" t="s">
        <v>13</v>
      </c>
      <c r="C697" t="s">
        <v>21</v>
      </c>
      <c r="D697" t="s">
        <v>22</v>
      </c>
      <c r="E697" s="1">
        <v>45257</v>
      </c>
      <c r="F697" s="4">
        <v>31657</v>
      </c>
      <c r="G697" s="4">
        <v>771008</v>
      </c>
      <c r="H697" s="2">
        <v>2660</v>
      </c>
      <c r="I697" s="16">
        <v>23</v>
      </c>
      <c r="J697" s="1">
        <v>45280</v>
      </c>
      <c r="K697" s="3">
        <v>4.1099999999999998E-2</v>
      </c>
      <c r="L697" s="13">
        <f t="shared" si="22"/>
        <v>3.4500290528762347</v>
      </c>
      <c r="M697" s="16">
        <f t="shared" si="23"/>
        <v>1376.391304347826</v>
      </c>
    </row>
    <row r="698" spans="1:13" x14ac:dyDescent="0.3">
      <c r="A698">
        <v>100696</v>
      </c>
      <c r="B698" t="s">
        <v>10</v>
      </c>
      <c r="C698" t="s">
        <v>11</v>
      </c>
      <c r="D698" t="s">
        <v>12</v>
      </c>
      <c r="E698" s="1">
        <v>45258</v>
      </c>
      <c r="F698" s="4">
        <v>4810</v>
      </c>
      <c r="G698" s="4">
        <v>662195</v>
      </c>
      <c r="H698" s="2">
        <v>4615</v>
      </c>
      <c r="I698" s="16">
        <v>14</v>
      </c>
      <c r="J698" s="1">
        <v>45272</v>
      </c>
      <c r="K698" s="3">
        <v>7.3000000000000001E-3</v>
      </c>
      <c r="L698" s="13">
        <f t="shared" si="22"/>
        <v>6.9692462190140372</v>
      </c>
      <c r="M698" s="16">
        <f t="shared" si="23"/>
        <v>343.57142857142856</v>
      </c>
    </row>
    <row r="699" spans="1:13" x14ac:dyDescent="0.3">
      <c r="A699">
        <v>100697</v>
      </c>
      <c r="B699" t="s">
        <v>13</v>
      </c>
      <c r="C699" t="s">
        <v>14</v>
      </c>
      <c r="D699" t="s">
        <v>24</v>
      </c>
      <c r="E699" s="1">
        <v>45259</v>
      </c>
      <c r="F699" s="4">
        <v>1953</v>
      </c>
      <c r="G699" s="4">
        <v>483766</v>
      </c>
      <c r="H699" s="2">
        <v>242</v>
      </c>
      <c r="I699" s="16">
        <v>6</v>
      </c>
      <c r="J699" s="1">
        <v>45265</v>
      </c>
      <c r="K699" s="3">
        <v>4.0000000000000001E-3</v>
      </c>
      <c r="L699" s="13">
        <f t="shared" si="22"/>
        <v>0.50024185246586161</v>
      </c>
      <c r="M699" s="16">
        <f t="shared" si="23"/>
        <v>325.5</v>
      </c>
    </row>
    <row r="700" spans="1:13" x14ac:dyDescent="0.3">
      <c r="A700">
        <v>100698</v>
      </c>
      <c r="B700" t="s">
        <v>13</v>
      </c>
      <c r="C700" t="s">
        <v>25</v>
      </c>
      <c r="D700" t="s">
        <v>17</v>
      </c>
      <c r="E700" s="1">
        <v>45260</v>
      </c>
      <c r="F700" s="4">
        <v>3263</v>
      </c>
      <c r="G700" s="4">
        <v>898416</v>
      </c>
      <c r="H700" s="2">
        <v>4821</v>
      </c>
      <c r="I700" s="16">
        <v>1</v>
      </c>
      <c r="J700" s="1">
        <v>45261</v>
      </c>
      <c r="K700" s="3">
        <v>3.5999999999999999E-3</v>
      </c>
      <c r="L700" s="13">
        <f t="shared" si="22"/>
        <v>5.3661110220655024</v>
      </c>
      <c r="M700" s="16">
        <f t="shared" si="23"/>
        <v>3263</v>
      </c>
    </row>
    <row r="701" spans="1:13" x14ac:dyDescent="0.3">
      <c r="A701">
        <v>100699</v>
      </c>
      <c r="B701" t="s">
        <v>18</v>
      </c>
      <c r="C701" t="s">
        <v>21</v>
      </c>
      <c r="D701" t="s">
        <v>12</v>
      </c>
      <c r="E701" s="1">
        <v>45261</v>
      </c>
      <c r="F701" s="4">
        <v>36469</v>
      </c>
      <c r="G701" s="4">
        <v>873337</v>
      </c>
      <c r="H701" s="2">
        <v>1421</v>
      </c>
      <c r="I701" s="16">
        <v>6</v>
      </c>
      <c r="J701" s="1">
        <v>45267</v>
      </c>
      <c r="K701" s="3">
        <v>4.1799999999999997E-2</v>
      </c>
      <c r="L701" s="13">
        <f t="shared" si="22"/>
        <v>1.6270924053372293</v>
      </c>
      <c r="M701" s="16">
        <f t="shared" si="23"/>
        <v>6078.166666666667</v>
      </c>
    </row>
    <row r="702" spans="1:13" x14ac:dyDescent="0.3">
      <c r="A702">
        <v>100700</v>
      </c>
      <c r="B702" t="s">
        <v>18</v>
      </c>
      <c r="C702" t="s">
        <v>21</v>
      </c>
      <c r="D702" t="s">
        <v>22</v>
      </c>
      <c r="E702" s="1">
        <v>45262</v>
      </c>
      <c r="F702" s="4">
        <v>24633</v>
      </c>
      <c r="G702" s="4">
        <v>243063</v>
      </c>
      <c r="H702" s="2">
        <v>1953</v>
      </c>
      <c r="I702" s="16">
        <v>28</v>
      </c>
      <c r="J702" s="1">
        <v>45290</v>
      </c>
      <c r="K702" s="3">
        <v>0.1013</v>
      </c>
      <c r="L702" s="13">
        <f t="shared" si="22"/>
        <v>8.0349539008405237</v>
      </c>
      <c r="M702" s="16">
        <f t="shared" si="23"/>
        <v>879.75</v>
      </c>
    </row>
    <row r="703" spans="1:13" x14ac:dyDescent="0.3">
      <c r="A703">
        <v>100701</v>
      </c>
      <c r="B703" t="s">
        <v>18</v>
      </c>
      <c r="C703" t="s">
        <v>23</v>
      </c>
      <c r="D703" t="s">
        <v>17</v>
      </c>
      <c r="E703" s="1">
        <v>45263</v>
      </c>
      <c r="F703" s="4">
        <v>95715</v>
      </c>
      <c r="G703" s="4">
        <v>335165</v>
      </c>
      <c r="H703" s="2">
        <v>1916</v>
      </c>
      <c r="I703" s="16">
        <v>25</v>
      </c>
      <c r="J703" s="1">
        <v>45288</v>
      </c>
      <c r="K703" s="3">
        <v>0.28560000000000002</v>
      </c>
      <c r="L703" s="13">
        <f t="shared" si="22"/>
        <v>5.7165873524980233</v>
      </c>
      <c r="M703" s="16">
        <f t="shared" si="23"/>
        <v>3828.6</v>
      </c>
    </row>
    <row r="704" spans="1:13" x14ac:dyDescent="0.3">
      <c r="A704">
        <v>100702</v>
      </c>
      <c r="B704" t="s">
        <v>18</v>
      </c>
      <c r="C704" t="s">
        <v>23</v>
      </c>
      <c r="D704" t="s">
        <v>24</v>
      </c>
      <c r="E704" s="1">
        <v>45264</v>
      </c>
      <c r="F704" s="4">
        <v>55081</v>
      </c>
      <c r="G704" s="4">
        <v>831105</v>
      </c>
      <c r="H704" s="2">
        <v>3773</v>
      </c>
      <c r="I704" s="16">
        <v>15</v>
      </c>
      <c r="J704" s="1">
        <v>45279</v>
      </c>
      <c r="K704" s="3">
        <v>6.6299999999999998E-2</v>
      </c>
      <c r="L704" s="13">
        <f t="shared" si="22"/>
        <v>4.5397392627886974</v>
      </c>
      <c r="M704" s="16">
        <f t="shared" si="23"/>
        <v>3672.0666666666666</v>
      </c>
    </row>
    <row r="705" spans="1:13" x14ac:dyDescent="0.3">
      <c r="A705">
        <v>100703</v>
      </c>
      <c r="B705" t="s">
        <v>10</v>
      </c>
      <c r="C705" t="s">
        <v>11</v>
      </c>
      <c r="D705" t="s">
        <v>17</v>
      </c>
      <c r="E705" s="1">
        <v>45265</v>
      </c>
      <c r="F705" s="4">
        <v>62228</v>
      </c>
      <c r="G705" s="4">
        <v>700184</v>
      </c>
      <c r="H705" s="2">
        <v>3739</v>
      </c>
      <c r="I705" s="16">
        <v>6</v>
      </c>
      <c r="J705" s="1">
        <v>45271</v>
      </c>
      <c r="K705" s="3">
        <v>8.8900000000000007E-2</v>
      </c>
      <c r="L705" s="13">
        <f t="shared" si="22"/>
        <v>5.3400249077385373</v>
      </c>
      <c r="M705" s="16">
        <f t="shared" si="23"/>
        <v>10371.333333333334</v>
      </c>
    </row>
    <row r="706" spans="1:13" x14ac:dyDescent="0.3">
      <c r="A706">
        <v>100704</v>
      </c>
      <c r="B706" t="s">
        <v>18</v>
      </c>
      <c r="C706" t="s">
        <v>14</v>
      </c>
      <c r="D706" t="s">
        <v>24</v>
      </c>
      <c r="E706" s="1">
        <v>45266</v>
      </c>
      <c r="F706" s="4">
        <v>8016</v>
      </c>
      <c r="G706" s="4">
        <v>269862</v>
      </c>
      <c r="H706" s="2">
        <v>4453</v>
      </c>
      <c r="I706" s="16">
        <v>25</v>
      </c>
      <c r="J706" s="1">
        <v>45291</v>
      </c>
      <c r="K706" s="3">
        <v>2.9700000000000001E-2</v>
      </c>
      <c r="L706" s="13">
        <f t="shared" ref="L706:L769" si="24">H706/G706*1000</f>
        <v>16.501026450556211</v>
      </c>
      <c r="M706" s="16">
        <f t="shared" ref="M706:M769" si="25">IFERROR(F706/I706,"No Data")</f>
        <v>320.64</v>
      </c>
    </row>
    <row r="707" spans="1:13" x14ac:dyDescent="0.3">
      <c r="A707">
        <v>100705</v>
      </c>
      <c r="B707" t="s">
        <v>13</v>
      </c>
      <c r="C707" t="s">
        <v>20</v>
      </c>
      <c r="D707" t="s">
        <v>24</v>
      </c>
      <c r="E707" s="1">
        <v>45267</v>
      </c>
      <c r="F707" s="4">
        <v>7320</v>
      </c>
      <c r="G707" s="4">
        <v>17685</v>
      </c>
      <c r="H707" s="2">
        <v>3716</v>
      </c>
      <c r="I707" s="16">
        <v>19</v>
      </c>
      <c r="J707" s="1">
        <v>45286</v>
      </c>
      <c r="K707" s="3">
        <v>0.41389999999999999</v>
      </c>
      <c r="L707" s="13">
        <f t="shared" si="24"/>
        <v>210.12157195363301</v>
      </c>
      <c r="M707" s="16">
        <f t="shared" si="25"/>
        <v>385.26315789473682</v>
      </c>
    </row>
    <row r="708" spans="1:13" x14ac:dyDescent="0.3">
      <c r="A708">
        <v>100706</v>
      </c>
      <c r="B708" t="s">
        <v>10</v>
      </c>
      <c r="C708" t="s">
        <v>16</v>
      </c>
      <c r="D708" t="s">
        <v>22</v>
      </c>
      <c r="E708" s="1">
        <v>45268</v>
      </c>
      <c r="F708" s="4">
        <v>34730</v>
      </c>
      <c r="G708" s="4">
        <v>677124</v>
      </c>
      <c r="H708" s="2">
        <v>334</v>
      </c>
      <c r="I708" s="16">
        <v>3</v>
      </c>
      <c r="J708" s="1">
        <v>45271</v>
      </c>
      <c r="K708" s="3">
        <v>5.1299999999999998E-2</v>
      </c>
      <c r="L708" s="13">
        <f t="shared" si="24"/>
        <v>0.49326268157678649</v>
      </c>
      <c r="M708" s="16">
        <f t="shared" si="25"/>
        <v>11576.666666666666</v>
      </c>
    </row>
    <row r="709" spans="1:13" x14ac:dyDescent="0.3">
      <c r="A709">
        <v>100707</v>
      </c>
      <c r="B709" t="s">
        <v>10</v>
      </c>
      <c r="C709" t="s">
        <v>11</v>
      </c>
      <c r="D709" t="s">
        <v>17</v>
      </c>
      <c r="E709" s="1">
        <v>45269</v>
      </c>
      <c r="F709" s="4">
        <v>97762</v>
      </c>
      <c r="G709" s="4">
        <v>246719</v>
      </c>
      <c r="H709" s="2">
        <v>2198</v>
      </c>
      <c r="I709" s="16">
        <v>25</v>
      </c>
      <c r="J709" s="1">
        <v>45294</v>
      </c>
      <c r="K709" s="3">
        <v>0.3962</v>
      </c>
      <c r="L709" s="13">
        <f t="shared" si="24"/>
        <v>8.9089206749378835</v>
      </c>
      <c r="M709" s="16">
        <f t="shared" si="25"/>
        <v>3910.48</v>
      </c>
    </row>
    <row r="710" spans="1:13" x14ac:dyDescent="0.3">
      <c r="A710">
        <v>100708</v>
      </c>
      <c r="B710" t="s">
        <v>13</v>
      </c>
      <c r="C710" t="s">
        <v>23</v>
      </c>
      <c r="D710" t="s">
        <v>12</v>
      </c>
      <c r="E710" s="1">
        <v>45270</v>
      </c>
      <c r="F710" s="4">
        <v>31694</v>
      </c>
      <c r="G710" s="4">
        <v>93420</v>
      </c>
      <c r="H710" s="2">
        <v>2208</v>
      </c>
      <c r="I710" s="16">
        <v>2</v>
      </c>
      <c r="J710" s="1">
        <v>45272</v>
      </c>
      <c r="K710" s="3">
        <v>0.33929999999999999</v>
      </c>
      <c r="L710" s="13">
        <f t="shared" si="24"/>
        <v>23.63519588953115</v>
      </c>
      <c r="M710" s="16">
        <f t="shared" si="25"/>
        <v>15847</v>
      </c>
    </row>
    <row r="711" spans="1:13" x14ac:dyDescent="0.3">
      <c r="A711">
        <v>100709</v>
      </c>
      <c r="B711" t="s">
        <v>13</v>
      </c>
      <c r="C711" t="s">
        <v>14</v>
      </c>
      <c r="D711" t="s">
        <v>12</v>
      </c>
      <c r="E711" s="1">
        <v>45271</v>
      </c>
      <c r="F711" s="4">
        <v>12671</v>
      </c>
      <c r="G711" s="4">
        <v>282511</v>
      </c>
      <c r="H711" s="2">
        <v>4909</v>
      </c>
      <c r="I711" s="16">
        <v>6</v>
      </c>
      <c r="J711" s="1">
        <v>45277</v>
      </c>
      <c r="K711" s="3">
        <v>4.4900000000000002E-2</v>
      </c>
      <c r="L711" s="13">
        <f t="shared" si="24"/>
        <v>17.376314550583871</v>
      </c>
      <c r="M711" s="16">
        <f t="shared" si="25"/>
        <v>2111.8333333333335</v>
      </c>
    </row>
    <row r="712" spans="1:13" x14ac:dyDescent="0.3">
      <c r="A712">
        <v>100710</v>
      </c>
      <c r="B712" t="s">
        <v>19</v>
      </c>
      <c r="C712" t="s">
        <v>23</v>
      </c>
      <c r="D712" t="s">
        <v>22</v>
      </c>
      <c r="E712" s="1">
        <v>45272</v>
      </c>
      <c r="F712" s="4">
        <v>57561</v>
      </c>
      <c r="G712" s="4">
        <v>315178</v>
      </c>
      <c r="H712" s="2">
        <v>3395</v>
      </c>
      <c r="I712" s="16">
        <v>21</v>
      </c>
      <c r="J712" s="1">
        <v>45293</v>
      </c>
      <c r="K712" s="3">
        <v>0.18260000000000001</v>
      </c>
      <c r="L712" s="13">
        <f t="shared" si="24"/>
        <v>10.771690917513277</v>
      </c>
      <c r="M712" s="16">
        <f t="shared" si="25"/>
        <v>2741</v>
      </c>
    </row>
    <row r="713" spans="1:13" x14ac:dyDescent="0.3">
      <c r="A713">
        <v>100711</v>
      </c>
      <c r="B713" t="s">
        <v>13</v>
      </c>
      <c r="C713" t="s">
        <v>25</v>
      </c>
      <c r="D713" t="s">
        <v>12</v>
      </c>
      <c r="E713" s="1">
        <v>45273</v>
      </c>
      <c r="F713" s="4">
        <v>80514</v>
      </c>
      <c r="G713" s="4">
        <v>212879</v>
      </c>
      <c r="H713" s="2">
        <v>2263</v>
      </c>
      <c r="I713" s="16">
        <v>12</v>
      </c>
      <c r="J713" s="1">
        <v>45285</v>
      </c>
      <c r="K713" s="3">
        <v>0.37819999999999998</v>
      </c>
      <c r="L713" s="13">
        <f t="shared" si="24"/>
        <v>10.630452040830708</v>
      </c>
      <c r="M713" s="16">
        <f t="shared" si="25"/>
        <v>6709.5</v>
      </c>
    </row>
    <row r="714" spans="1:13" x14ac:dyDescent="0.3">
      <c r="A714">
        <v>100712</v>
      </c>
      <c r="B714" t="s">
        <v>10</v>
      </c>
      <c r="C714" t="s">
        <v>16</v>
      </c>
      <c r="D714" t="s">
        <v>17</v>
      </c>
      <c r="E714" s="1">
        <v>45274</v>
      </c>
      <c r="F714" s="4">
        <v>51168</v>
      </c>
      <c r="G714" s="4">
        <v>274880</v>
      </c>
      <c r="H714" s="2">
        <v>613</v>
      </c>
      <c r="I714" s="16">
        <v>19</v>
      </c>
      <c r="J714" s="1">
        <v>45293</v>
      </c>
      <c r="K714" s="3">
        <v>0.18609999999999999</v>
      </c>
      <c r="L714" s="13">
        <f t="shared" si="24"/>
        <v>2.2300640279394646</v>
      </c>
      <c r="M714" s="16">
        <f t="shared" si="25"/>
        <v>2693.0526315789475</v>
      </c>
    </row>
    <row r="715" spans="1:13" x14ac:dyDescent="0.3">
      <c r="A715">
        <v>100713</v>
      </c>
      <c r="B715" t="s">
        <v>19</v>
      </c>
      <c r="C715" t="s">
        <v>23</v>
      </c>
      <c r="D715" t="s">
        <v>12</v>
      </c>
      <c r="E715" s="1">
        <v>45275</v>
      </c>
      <c r="F715" s="4">
        <v>63473</v>
      </c>
      <c r="G715" s="4">
        <v>374768</v>
      </c>
      <c r="H715" s="2">
        <v>1575</v>
      </c>
      <c r="I715" s="16">
        <v>27</v>
      </c>
      <c r="J715" s="1">
        <v>45302</v>
      </c>
      <c r="K715" s="3">
        <v>0.1694</v>
      </c>
      <c r="L715" s="13">
        <f t="shared" si="24"/>
        <v>4.2026000085386155</v>
      </c>
      <c r="M715" s="16">
        <f t="shared" si="25"/>
        <v>2350.8518518518517</v>
      </c>
    </row>
    <row r="716" spans="1:13" x14ac:dyDescent="0.3">
      <c r="A716">
        <v>100714</v>
      </c>
      <c r="B716" t="s">
        <v>10</v>
      </c>
      <c r="C716" t="s">
        <v>23</v>
      </c>
      <c r="D716" t="s">
        <v>15</v>
      </c>
      <c r="E716" s="1">
        <v>45276</v>
      </c>
      <c r="F716" s="4">
        <v>86072</v>
      </c>
      <c r="G716" s="4">
        <v>616044</v>
      </c>
      <c r="H716" s="2">
        <v>2690</v>
      </c>
      <c r="I716" s="16">
        <v>3</v>
      </c>
      <c r="J716" s="1">
        <v>45279</v>
      </c>
      <c r="K716" s="3">
        <v>0.13969999999999999</v>
      </c>
      <c r="L716" s="13">
        <f t="shared" si="24"/>
        <v>4.3665712189389065</v>
      </c>
      <c r="M716" s="16">
        <f t="shared" si="25"/>
        <v>28690.666666666668</v>
      </c>
    </row>
    <row r="717" spans="1:13" x14ac:dyDescent="0.3">
      <c r="A717">
        <v>100715</v>
      </c>
      <c r="B717" t="s">
        <v>18</v>
      </c>
      <c r="C717" t="s">
        <v>21</v>
      </c>
      <c r="D717" t="s">
        <v>12</v>
      </c>
      <c r="E717" s="1">
        <v>45277</v>
      </c>
      <c r="F717" s="4">
        <v>12995</v>
      </c>
      <c r="G717" s="4">
        <v>306050</v>
      </c>
      <c r="H717" s="2">
        <v>784</v>
      </c>
      <c r="I717" s="16">
        <v>2</v>
      </c>
      <c r="J717" s="1">
        <v>45279</v>
      </c>
      <c r="K717" s="3">
        <v>4.2500000000000003E-2</v>
      </c>
      <c r="L717" s="13">
        <f t="shared" si="24"/>
        <v>2.5616729292599247</v>
      </c>
      <c r="M717" s="16">
        <f t="shared" si="25"/>
        <v>6497.5</v>
      </c>
    </row>
    <row r="718" spans="1:13" x14ac:dyDescent="0.3">
      <c r="A718">
        <v>100716</v>
      </c>
      <c r="B718" t="s">
        <v>13</v>
      </c>
      <c r="C718" t="s">
        <v>11</v>
      </c>
      <c r="D718" t="s">
        <v>22</v>
      </c>
      <c r="E718" s="1">
        <v>45278</v>
      </c>
      <c r="F718" s="4">
        <v>60553</v>
      </c>
      <c r="G718" s="4">
        <v>230089</v>
      </c>
      <c r="H718" s="2">
        <v>4093</v>
      </c>
      <c r="I718" s="16">
        <v>12</v>
      </c>
      <c r="J718" s="1">
        <v>45290</v>
      </c>
      <c r="K718" s="3">
        <v>0.26319999999999999</v>
      </c>
      <c r="L718" s="13">
        <f t="shared" si="24"/>
        <v>17.78876869385325</v>
      </c>
      <c r="M718" s="16">
        <f t="shared" si="25"/>
        <v>5046.083333333333</v>
      </c>
    </row>
    <row r="719" spans="1:13" x14ac:dyDescent="0.3">
      <c r="A719">
        <v>100717</v>
      </c>
      <c r="B719" t="s">
        <v>18</v>
      </c>
      <c r="C719" t="s">
        <v>20</v>
      </c>
      <c r="D719" t="s">
        <v>15</v>
      </c>
      <c r="E719" s="1">
        <v>45279</v>
      </c>
      <c r="F719" s="4">
        <v>71336</v>
      </c>
      <c r="G719" s="4">
        <v>923626</v>
      </c>
      <c r="H719" s="2">
        <v>949</v>
      </c>
      <c r="I719" s="16">
        <v>19</v>
      </c>
      <c r="J719" s="1">
        <v>45298</v>
      </c>
      <c r="K719" s="3">
        <v>7.7200000000000005E-2</v>
      </c>
      <c r="L719" s="13">
        <f t="shared" si="24"/>
        <v>1.0274721586442996</v>
      </c>
      <c r="M719" s="16">
        <f t="shared" si="25"/>
        <v>3754.5263157894738</v>
      </c>
    </row>
    <row r="720" spans="1:13" x14ac:dyDescent="0.3">
      <c r="A720">
        <v>100718</v>
      </c>
      <c r="B720" t="s">
        <v>13</v>
      </c>
      <c r="C720" t="s">
        <v>20</v>
      </c>
      <c r="D720" t="s">
        <v>15</v>
      </c>
      <c r="E720" s="1">
        <v>45280</v>
      </c>
      <c r="F720" s="4">
        <v>9488</v>
      </c>
      <c r="G720" s="4">
        <v>876964</v>
      </c>
      <c r="H720" s="2">
        <v>2498</v>
      </c>
      <c r="I720" s="16">
        <v>25</v>
      </c>
      <c r="J720" s="1">
        <v>45305</v>
      </c>
      <c r="K720" s="3">
        <v>1.0800000000000001E-2</v>
      </c>
      <c r="L720" s="13">
        <f t="shared" si="24"/>
        <v>2.8484635629284667</v>
      </c>
      <c r="M720" s="16">
        <f t="shared" si="25"/>
        <v>379.52</v>
      </c>
    </row>
    <row r="721" spans="1:13" x14ac:dyDescent="0.3">
      <c r="A721">
        <v>100719</v>
      </c>
      <c r="B721" t="s">
        <v>19</v>
      </c>
      <c r="C721" t="s">
        <v>14</v>
      </c>
      <c r="D721" t="s">
        <v>17</v>
      </c>
      <c r="E721" s="1">
        <v>45281</v>
      </c>
      <c r="F721" s="4">
        <v>72763</v>
      </c>
      <c r="G721" s="4">
        <v>554482</v>
      </c>
      <c r="H721" s="2">
        <v>4163</v>
      </c>
      <c r="I721" s="16">
        <v>13</v>
      </c>
      <c r="J721" s="1">
        <v>45294</v>
      </c>
      <c r="K721" s="3">
        <v>0.13120000000000001</v>
      </c>
      <c r="L721" s="13">
        <f t="shared" si="24"/>
        <v>7.5079082819640677</v>
      </c>
      <c r="M721" s="16">
        <f t="shared" si="25"/>
        <v>5597.1538461538457</v>
      </c>
    </row>
    <row r="722" spans="1:13" x14ac:dyDescent="0.3">
      <c r="A722">
        <v>100720</v>
      </c>
      <c r="B722" t="s">
        <v>13</v>
      </c>
      <c r="C722" t="s">
        <v>16</v>
      </c>
      <c r="D722" t="s">
        <v>17</v>
      </c>
      <c r="E722" s="1">
        <v>45282</v>
      </c>
      <c r="F722" s="4">
        <v>59942</v>
      </c>
      <c r="G722" s="4">
        <v>275728</v>
      </c>
      <c r="H722" s="2">
        <v>2895</v>
      </c>
      <c r="I722" s="16">
        <v>20</v>
      </c>
      <c r="J722" s="1">
        <v>45302</v>
      </c>
      <c r="K722" s="3">
        <v>0.21740000000000001</v>
      </c>
      <c r="L722" s="13">
        <f t="shared" si="24"/>
        <v>10.499477746184645</v>
      </c>
      <c r="M722" s="16">
        <f t="shared" si="25"/>
        <v>2997.1</v>
      </c>
    </row>
    <row r="723" spans="1:13" x14ac:dyDescent="0.3">
      <c r="A723">
        <v>100721</v>
      </c>
      <c r="B723" t="s">
        <v>13</v>
      </c>
      <c r="C723" t="s">
        <v>25</v>
      </c>
      <c r="D723" t="s">
        <v>22</v>
      </c>
      <c r="E723" s="1">
        <v>45283</v>
      </c>
      <c r="F723" s="4">
        <v>87100</v>
      </c>
      <c r="G723" s="4">
        <v>497754</v>
      </c>
      <c r="H723" s="2">
        <v>2457</v>
      </c>
      <c r="I723" s="16">
        <v>22</v>
      </c>
      <c r="J723" s="1">
        <v>45305</v>
      </c>
      <c r="K723" s="3">
        <v>0.17499999999999999</v>
      </c>
      <c r="L723" s="13">
        <f t="shared" si="24"/>
        <v>4.9361732904205686</v>
      </c>
      <c r="M723" s="16">
        <f t="shared" si="25"/>
        <v>3959.090909090909</v>
      </c>
    </row>
    <row r="724" spans="1:13" x14ac:dyDescent="0.3">
      <c r="A724">
        <v>100722</v>
      </c>
      <c r="B724" t="s">
        <v>18</v>
      </c>
      <c r="C724" t="s">
        <v>11</v>
      </c>
      <c r="D724" t="s">
        <v>12</v>
      </c>
      <c r="E724" s="1">
        <v>45284</v>
      </c>
      <c r="F724" s="4">
        <v>91875</v>
      </c>
      <c r="G724" s="4">
        <v>797340</v>
      </c>
      <c r="H724" s="2">
        <v>1559</v>
      </c>
      <c r="I724" s="16">
        <v>7</v>
      </c>
      <c r="J724" s="1">
        <v>45291</v>
      </c>
      <c r="K724" s="3">
        <v>0.1152</v>
      </c>
      <c r="L724" s="13">
        <f t="shared" si="24"/>
        <v>1.9552512102741617</v>
      </c>
      <c r="M724" s="16">
        <f t="shared" si="25"/>
        <v>13125</v>
      </c>
    </row>
    <row r="725" spans="1:13" x14ac:dyDescent="0.3">
      <c r="A725">
        <v>100723</v>
      </c>
      <c r="B725" t="s">
        <v>19</v>
      </c>
      <c r="C725" t="s">
        <v>20</v>
      </c>
      <c r="D725" t="s">
        <v>12</v>
      </c>
      <c r="E725" s="1">
        <v>45285</v>
      </c>
      <c r="F725" s="4">
        <v>52999</v>
      </c>
      <c r="G725" s="4">
        <v>444938</v>
      </c>
      <c r="H725" s="2">
        <v>146</v>
      </c>
      <c r="I725" s="16">
        <v>12</v>
      </c>
      <c r="J725" s="1">
        <v>45297</v>
      </c>
      <c r="K725" s="3">
        <v>0.1191</v>
      </c>
      <c r="L725" s="13">
        <f t="shared" si="24"/>
        <v>0.32813560541019199</v>
      </c>
      <c r="M725" s="16">
        <f t="shared" si="25"/>
        <v>4416.583333333333</v>
      </c>
    </row>
    <row r="726" spans="1:13" x14ac:dyDescent="0.3">
      <c r="A726">
        <v>100724</v>
      </c>
      <c r="B726" t="s">
        <v>18</v>
      </c>
      <c r="C726" t="s">
        <v>11</v>
      </c>
      <c r="D726" t="s">
        <v>22</v>
      </c>
      <c r="E726" s="1">
        <v>45286</v>
      </c>
      <c r="F726" s="4">
        <v>1013</v>
      </c>
      <c r="G726" s="4">
        <v>926488</v>
      </c>
      <c r="H726" s="2">
        <v>2588</v>
      </c>
      <c r="I726" s="16">
        <v>17</v>
      </c>
      <c r="J726" s="1">
        <v>45303</v>
      </c>
      <c r="K726" s="3">
        <v>1.1000000000000001E-3</v>
      </c>
      <c r="L726" s="13">
        <f t="shared" si="24"/>
        <v>2.7933443282589736</v>
      </c>
      <c r="M726" s="16">
        <f t="shared" si="25"/>
        <v>59.588235294117645</v>
      </c>
    </row>
    <row r="727" spans="1:13" x14ac:dyDescent="0.3">
      <c r="A727">
        <v>100725</v>
      </c>
      <c r="B727" t="s">
        <v>18</v>
      </c>
      <c r="C727" t="s">
        <v>14</v>
      </c>
      <c r="D727" t="s">
        <v>24</v>
      </c>
      <c r="E727" s="1">
        <v>45287</v>
      </c>
      <c r="F727" s="4">
        <v>9062</v>
      </c>
      <c r="G727" s="4">
        <v>348129</v>
      </c>
      <c r="H727" s="2">
        <v>4222</v>
      </c>
      <c r="I727" s="16">
        <v>1</v>
      </c>
      <c r="J727" s="1">
        <v>45288</v>
      </c>
      <c r="K727" s="3">
        <v>2.5999999999999999E-2</v>
      </c>
      <c r="L727" s="13">
        <f t="shared" si="24"/>
        <v>12.127688299452213</v>
      </c>
      <c r="M727" s="16">
        <f t="shared" si="25"/>
        <v>9062</v>
      </c>
    </row>
    <row r="728" spans="1:13" x14ac:dyDescent="0.3">
      <c r="A728">
        <v>100726</v>
      </c>
      <c r="B728" t="s">
        <v>18</v>
      </c>
      <c r="C728" t="s">
        <v>16</v>
      </c>
      <c r="D728" t="s">
        <v>17</v>
      </c>
      <c r="E728" s="1">
        <v>45288</v>
      </c>
      <c r="F728" s="4">
        <v>50465</v>
      </c>
      <c r="G728" s="4">
        <v>967771</v>
      </c>
      <c r="H728" s="2">
        <v>3534</v>
      </c>
      <c r="I728" s="16">
        <v>19</v>
      </c>
      <c r="J728" s="1">
        <v>45307</v>
      </c>
      <c r="K728" s="3">
        <v>5.21E-2</v>
      </c>
      <c r="L728" s="13">
        <f t="shared" si="24"/>
        <v>3.6516903275671622</v>
      </c>
      <c r="M728" s="16">
        <f t="shared" si="25"/>
        <v>2656.0526315789475</v>
      </c>
    </row>
    <row r="729" spans="1:13" x14ac:dyDescent="0.3">
      <c r="A729">
        <v>100727</v>
      </c>
      <c r="B729" t="s">
        <v>18</v>
      </c>
      <c r="C729" t="s">
        <v>20</v>
      </c>
      <c r="D729" t="s">
        <v>24</v>
      </c>
      <c r="E729" s="1">
        <v>45289</v>
      </c>
      <c r="F729" s="4">
        <v>38157</v>
      </c>
      <c r="G729" s="4">
        <v>368675</v>
      </c>
      <c r="H729" s="2">
        <v>1587</v>
      </c>
      <c r="I729" s="16">
        <v>24</v>
      </c>
      <c r="J729" s="1">
        <v>45313</v>
      </c>
      <c r="K729" s="3">
        <v>0.10349999999999999</v>
      </c>
      <c r="L729" s="13">
        <f t="shared" si="24"/>
        <v>4.3046043263036555</v>
      </c>
      <c r="M729" s="16">
        <f t="shared" si="25"/>
        <v>1589.875</v>
      </c>
    </row>
    <row r="730" spans="1:13" x14ac:dyDescent="0.3">
      <c r="A730">
        <v>100728</v>
      </c>
      <c r="B730" t="s">
        <v>13</v>
      </c>
      <c r="C730" t="s">
        <v>14</v>
      </c>
      <c r="D730" t="s">
        <v>24</v>
      </c>
      <c r="E730" s="1">
        <v>45290</v>
      </c>
      <c r="F730" s="4">
        <v>85788</v>
      </c>
      <c r="G730" s="4">
        <v>131536</v>
      </c>
      <c r="H730" s="2">
        <v>4217</v>
      </c>
      <c r="I730" s="16">
        <v>9</v>
      </c>
      <c r="J730" s="1">
        <v>45299</v>
      </c>
      <c r="K730" s="3">
        <v>0.6522</v>
      </c>
      <c r="L730" s="13">
        <f t="shared" si="24"/>
        <v>32.05966427441917</v>
      </c>
      <c r="M730" s="16">
        <f t="shared" si="25"/>
        <v>9532</v>
      </c>
    </row>
    <row r="731" spans="1:13" x14ac:dyDescent="0.3">
      <c r="A731">
        <v>100729</v>
      </c>
      <c r="B731" t="s">
        <v>13</v>
      </c>
      <c r="C731" t="s">
        <v>11</v>
      </c>
      <c r="D731" t="s">
        <v>22</v>
      </c>
      <c r="E731" s="1">
        <v>45291</v>
      </c>
      <c r="F731" s="4">
        <v>50914</v>
      </c>
      <c r="G731" s="4">
        <v>629123</v>
      </c>
      <c r="H731" s="2">
        <v>1113</v>
      </c>
      <c r="I731" s="16">
        <v>16</v>
      </c>
      <c r="J731" s="1">
        <v>45307</v>
      </c>
      <c r="K731" s="3">
        <v>8.09E-2</v>
      </c>
      <c r="L731" s="13">
        <f t="shared" si="24"/>
        <v>1.7691294071270642</v>
      </c>
      <c r="M731" s="16">
        <f t="shared" si="25"/>
        <v>3182.125</v>
      </c>
    </row>
    <row r="732" spans="1:13" x14ac:dyDescent="0.3">
      <c r="A732">
        <v>100730</v>
      </c>
      <c r="B732" t="s">
        <v>18</v>
      </c>
      <c r="C732" t="s">
        <v>25</v>
      </c>
      <c r="D732" t="s">
        <v>24</v>
      </c>
      <c r="E732" s="1">
        <v>45292</v>
      </c>
      <c r="F732" s="4">
        <v>97937</v>
      </c>
      <c r="G732" s="4">
        <v>508623</v>
      </c>
      <c r="H732" s="2">
        <v>2565</v>
      </c>
      <c r="I732" s="16">
        <v>9</v>
      </c>
      <c r="J732" s="1">
        <v>45301</v>
      </c>
      <c r="K732" s="3">
        <v>0.19259999999999999</v>
      </c>
      <c r="L732" s="13">
        <f t="shared" si="24"/>
        <v>5.0430279401442721</v>
      </c>
      <c r="M732" s="16">
        <f t="shared" si="25"/>
        <v>10881.888888888889</v>
      </c>
    </row>
    <row r="733" spans="1:13" x14ac:dyDescent="0.3">
      <c r="A733">
        <v>100731</v>
      </c>
      <c r="B733" t="s">
        <v>18</v>
      </c>
      <c r="C733" t="s">
        <v>16</v>
      </c>
      <c r="D733" t="s">
        <v>15</v>
      </c>
      <c r="E733" s="1">
        <v>45293</v>
      </c>
      <c r="F733" s="4">
        <v>76824</v>
      </c>
      <c r="G733" s="4">
        <v>583151</v>
      </c>
      <c r="H733" s="2">
        <v>311</v>
      </c>
      <c r="I733" s="16">
        <v>9</v>
      </c>
      <c r="J733" s="1">
        <v>45302</v>
      </c>
      <c r="K733" s="3">
        <v>0.13170000000000001</v>
      </c>
      <c r="L733" s="13">
        <f t="shared" si="24"/>
        <v>0.53330955447216932</v>
      </c>
      <c r="M733" s="16">
        <f t="shared" si="25"/>
        <v>8536</v>
      </c>
    </row>
    <row r="734" spans="1:13" x14ac:dyDescent="0.3">
      <c r="A734">
        <v>100732</v>
      </c>
      <c r="B734" t="s">
        <v>18</v>
      </c>
      <c r="C734" t="s">
        <v>16</v>
      </c>
      <c r="D734" t="s">
        <v>15</v>
      </c>
      <c r="E734" s="1">
        <v>45294</v>
      </c>
      <c r="F734" s="4">
        <v>1299</v>
      </c>
      <c r="G734" s="4">
        <v>366706</v>
      </c>
      <c r="H734" s="2">
        <v>4595</v>
      </c>
      <c r="I734" s="16">
        <v>20</v>
      </c>
      <c r="J734" s="1">
        <v>45314</v>
      </c>
      <c r="K734" s="3">
        <v>3.5000000000000001E-3</v>
      </c>
      <c r="L734" s="13">
        <f t="shared" si="24"/>
        <v>12.530474003697785</v>
      </c>
      <c r="M734" s="16">
        <f t="shared" si="25"/>
        <v>64.95</v>
      </c>
    </row>
    <row r="735" spans="1:13" x14ac:dyDescent="0.3">
      <c r="A735">
        <v>100733</v>
      </c>
      <c r="B735" t="s">
        <v>18</v>
      </c>
      <c r="C735" t="s">
        <v>25</v>
      </c>
      <c r="D735" t="s">
        <v>24</v>
      </c>
      <c r="E735" s="1">
        <v>45295</v>
      </c>
      <c r="F735" s="4">
        <v>65442</v>
      </c>
      <c r="G735" s="4">
        <v>146362</v>
      </c>
      <c r="H735" s="2">
        <v>1929</v>
      </c>
      <c r="I735" s="16">
        <v>15</v>
      </c>
      <c r="J735" s="1">
        <v>45310</v>
      </c>
      <c r="K735" s="3">
        <v>0.4471</v>
      </c>
      <c r="L735" s="13">
        <f t="shared" si="24"/>
        <v>13.179650455719379</v>
      </c>
      <c r="M735" s="16">
        <f t="shared" si="25"/>
        <v>4362.8</v>
      </c>
    </row>
    <row r="736" spans="1:13" x14ac:dyDescent="0.3">
      <c r="A736">
        <v>100734</v>
      </c>
      <c r="B736" t="s">
        <v>18</v>
      </c>
      <c r="C736" t="s">
        <v>21</v>
      </c>
      <c r="D736" t="s">
        <v>12</v>
      </c>
      <c r="E736" s="1">
        <v>45296</v>
      </c>
      <c r="F736" s="4">
        <v>92170</v>
      </c>
      <c r="G736" s="4">
        <v>713477</v>
      </c>
      <c r="H736" s="2">
        <v>4966</v>
      </c>
      <c r="I736" s="16">
        <v>14</v>
      </c>
      <c r="J736" s="1">
        <v>45310</v>
      </c>
      <c r="K736" s="3">
        <v>0.12920000000000001</v>
      </c>
      <c r="L736" s="13">
        <f t="shared" si="24"/>
        <v>6.9602804295022827</v>
      </c>
      <c r="M736" s="16">
        <f t="shared" si="25"/>
        <v>6583.5714285714284</v>
      </c>
    </row>
    <row r="737" spans="1:13" x14ac:dyDescent="0.3">
      <c r="A737">
        <v>100735</v>
      </c>
      <c r="B737" t="s">
        <v>13</v>
      </c>
      <c r="C737" t="s">
        <v>25</v>
      </c>
      <c r="D737" t="s">
        <v>17</v>
      </c>
      <c r="E737" s="1">
        <v>45297</v>
      </c>
      <c r="F737" s="4">
        <v>41933</v>
      </c>
      <c r="G737" s="4">
        <v>400702</v>
      </c>
      <c r="H737" s="2">
        <v>4707</v>
      </c>
      <c r="I737" s="16">
        <v>17</v>
      </c>
      <c r="J737" s="1">
        <v>45314</v>
      </c>
      <c r="K737" s="3">
        <v>0.1046</v>
      </c>
      <c r="L737" s="13">
        <f t="shared" si="24"/>
        <v>11.746884218197064</v>
      </c>
      <c r="M737" s="16">
        <f t="shared" si="25"/>
        <v>2466.6470588235293</v>
      </c>
    </row>
    <row r="738" spans="1:13" x14ac:dyDescent="0.3">
      <c r="A738">
        <v>100736</v>
      </c>
      <c r="B738" t="s">
        <v>18</v>
      </c>
      <c r="C738" t="s">
        <v>25</v>
      </c>
      <c r="D738" t="s">
        <v>22</v>
      </c>
      <c r="E738" s="1">
        <v>45298</v>
      </c>
      <c r="F738" s="4">
        <v>25115</v>
      </c>
      <c r="G738" s="4">
        <v>623017</v>
      </c>
      <c r="H738" s="2">
        <v>1310</v>
      </c>
      <c r="I738" s="16">
        <v>5</v>
      </c>
      <c r="J738" s="1">
        <v>45303</v>
      </c>
      <c r="K738" s="3">
        <v>4.0300000000000002E-2</v>
      </c>
      <c r="L738" s="13">
        <f t="shared" si="24"/>
        <v>2.1026713556772929</v>
      </c>
      <c r="M738" s="16">
        <f t="shared" si="25"/>
        <v>5023</v>
      </c>
    </row>
    <row r="739" spans="1:13" x14ac:dyDescent="0.3">
      <c r="A739">
        <v>100737</v>
      </c>
      <c r="B739" t="s">
        <v>18</v>
      </c>
      <c r="C739" t="s">
        <v>23</v>
      </c>
      <c r="D739" t="s">
        <v>24</v>
      </c>
      <c r="E739" s="1">
        <v>45299</v>
      </c>
      <c r="F739" s="4">
        <v>63714</v>
      </c>
      <c r="G739" s="4">
        <v>277937</v>
      </c>
      <c r="H739" s="2">
        <v>2210</v>
      </c>
      <c r="I739" s="16">
        <v>29</v>
      </c>
      <c r="J739" s="1">
        <v>45328</v>
      </c>
      <c r="K739" s="3">
        <v>0.22919999999999999</v>
      </c>
      <c r="L739" s="13">
        <f t="shared" si="24"/>
        <v>7.9514422333118659</v>
      </c>
      <c r="M739" s="16">
        <f t="shared" si="25"/>
        <v>2197.0344827586205</v>
      </c>
    </row>
    <row r="740" spans="1:13" x14ac:dyDescent="0.3">
      <c r="A740">
        <v>100738</v>
      </c>
      <c r="B740" t="s">
        <v>18</v>
      </c>
      <c r="C740" t="s">
        <v>25</v>
      </c>
      <c r="D740" t="s">
        <v>15</v>
      </c>
      <c r="E740" s="1">
        <v>45300</v>
      </c>
      <c r="F740" s="4">
        <v>55474</v>
      </c>
      <c r="G740" s="4">
        <v>518170</v>
      </c>
      <c r="H740" s="2">
        <v>4880</v>
      </c>
      <c r="I740" s="16">
        <v>7</v>
      </c>
      <c r="J740" s="1">
        <v>45307</v>
      </c>
      <c r="K740" s="3">
        <v>0.1071</v>
      </c>
      <c r="L740" s="13">
        <f t="shared" si="24"/>
        <v>9.4177586506358928</v>
      </c>
      <c r="M740" s="16">
        <f t="shared" si="25"/>
        <v>7924.8571428571431</v>
      </c>
    </row>
    <row r="741" spans="1:13" x14ac:dyDescent="0.3">
      <c r="A741">
        <v>100739</v>
      </c>
      <c r="B741" t="s">
        <v>13</v>
      </c>
      <c r="C741" t="s">
        <v>14</v>
      </c>
      <c r="D741" t="s">
        <v>15</v>
      </c>
      <c r="E741" s="1">
        <v>45301</v>
      </c>
      <c r="F741" s="4">
        <v>18452</v>
      </c>
      <c r="G741" s="4">
        <v>491436</v>
      </c>
      <c r="H741" s="2">
        <v>4284</v>
      </c>
      <c r="I741" s="16">
        <v>3</v>
      </c>
      <c r="J741" s="1">
        <v>45304</v>
      </c>
      <c r="K741" s="3">
        <v>3.7499999999999999E-2</v>
      </c>
      <c r="L741" s="13">
        <f t="shared" si="24"/>
        <v>8.7173100871731002</v>
      </c>
      <c r="M741" s="16">
        <f t="shared" si="25"/>
        <v>6150.666666666667</v>
      </c>
    </row>
    <row r="742" spans="1:13" x14ac:dyDescent="0.3">
      <c r="A742">
        <v>100740</v>
      </c>
      <c r="B742" t="s">
        <v>18</v>
      </c>
      <c r="C742" t="s">
        <v>20</v>
      </c>
      <c r="D742" t="s">
        <v>15</v>
      </c>
      <c r="E742" s="1">
        <v>45302</v>
      </c>
      <c r="F742" s="4">
        <v>18596</v>
      </c>
      <c r="G742" s="4">
        <v>86376</v>
      </c>
      <c r="H742" s="2">
        <v>3842</v>
      </c>
      <c r="I742" s="16">
        <v>12</v>
      </c>
      <c r="J742" s="1">
        <v>45314</v>
      </c>
      <c r="K742" s="3">
        <v>0.21529999999999999</v>
      </c>
      <c r="L742" s="13">
        <f t="shared" si="24"/>
        <v>44.479948133740855</v>
      </c>
      <c r="M742" s="16">
        <f t="shared" si="25"/>
        <v>1549.6666666666667</v>
      </c>
    </row>
    <row r="743" spans="1:13" x14ac:dyDescent="0.3">
      <c r="A743">
        <v>100741</v>
      </c>
      <c r="B743" t="s">
        <v>18</v>
      </c>
      <c r="C743" t="s">
        <v>16</v>
      </c>
      <c r="D743" t="s">
        <v>15</v>
      </c>
      <c r="E743" s="1">
        <v>45303</v>
      </c>
      <c r="F743" s="4">
        <v>71431</v>
      </c>
      <c r="G743" s="4">
        <v>493004</v>
      </c>
      <c r="H743" s="2">
        <v>2838</v>
      </c>
      <c r="I743" s="16">
        <v>19</v>
      </c>
      <c r="J743" s="1">
        <v>45322</v>
      </c>
      <c r="K743" s="3">
        <v>0.1449</v>
      </c>
      <c r="L743" s="13">
        <f t="shared" si="24"/>
        <v>5.7565455858370314</v>
      </c>
      <c r="M743" s="16">
        <f t="shared" si="25"/>
        <v>3759.5263157894738</v>
      </c>
    </row>
    <row r="744" spans="1:13" x14ac:dyDescent="0.3">
      <c r="A744">
        <v>100742</v>
      </c>
      <c r="B744" t="s">
        <v>10</v>
      </c>
      <c r="C744" t="s">
        <v>21</v>
      </c>
      <c r="D744" t="s">
        <v>22</v>
      </c>
      <c r="E744" s="1">
        <v>45304</v>
      </c>
      <c r="F744" s="4">
        <v>28673</v>
      </c>
      <c r="G744" s="4">
        <v>68484</v>
      </c>
      <c r="H744" s="2">
        <v>1559</v>
      </c>
      <c r="I744" s="16">
        <v>16</v>
      </c>
      <c r="J744" s="1">
        <v>45320</v>
      </c>
      <c r="K744" s="3">
        <v>0.41870000000000002</v>
      </c>
      <c r="L744" s="13">
        <f t="shared" si="24"/>
        <v>22.764441329361603</v>
      </c>
      <c r="M744" s="16">
        <f t="shared" si="25"/>
        <v>1792.0625</v>
      </c>
    </row>
    <row r="745" spans="1:13" x14ac:dyDescent="0.3">
      <c r="A745">
        <v>100743</v>
      </c>
      <c r="B745" t="s">
        <v>18</v>
      </c>
      <c r="C745" t="s">
        <v>23</v>
      </c>
      <c r="D745" t="s">
        <v>22</v>
      </c>
      <c r="E745" s="1">
        <v>45305</v>
      </c>
      <c r="F745" s="4">
        <v>94771</v>
      </c>
      <c r="G745" s="4">
        <v>566546</v>
      </c>
      <c r="H745" s="2">
        <v>704</v>
      </c>
      <c r="I745" s="16">
        <v>12</v>
      </c>
      <c r="J745" s="1">
        <v>45317</v>
      </c>
      <c r="K745" s="3">
        <v>0.1673</v>
      </c>
      <c r="L745" s="13">
        <f t="shared" si="24"/>
        <v>1.2426175456185378</v>
      </c>
      <c r="M745" s="16">
        <f t="shared" si="25"/>
        <v>7897.583333333333</v>
      </c>
    </row>
    <row r="746" spans="1:13" x14ac:dyDescent="0.3">
      <c r="A746">
        <v>100744</v>
      </c>
      <c r="B746" t="s">
        <v>13</v>
      </c>
      <c r="C746" t="s">
        <v>14</v>
      </c>
      <c r="D746" t="s">
        <v>12</v>
      </c>
      <c r="E746" s="1">
        <v>45306</v>
      </c>
      <c r="F746" s="4">
        <v>80206</v>
      </c>
      <c r="G746" s="4">
        <v>673282</v>
      </c>
      <c r="H746" s="2">
        <v>4049</v>
      </c>
      <c r="I746" s="16">
        <v>11</v>
      </c>
      <c r="J746" s="1">
        <v>45317</v>
      </c>
      <c r="K746" s="3">
        <v>0.1191</v>
      </c>
      <c r="L746" s="13">
        <f t="shared" si="24"/>
        <v>6.0138248163473849</v>
      </c>
      <c r="M746" s="16">
        <f t="shared" si="25"/>
        <v>7291.454545454545</v>
      </c>
    </row>
    <row r="747" spans="1:13" x14ac:dyDescent="0.3">
      <c r="A747">
        <v>100745</v>
      </c>
      <c r="B747" t="s">
        <v>13</v>
      </c>
      <c r="C747" t="s">
        <v>23</v>
      </c>
      <c r="D747" t="s">
        <v>24</v>
      </c>
      <c r="E747" s="1">
        <v>45307</v>
      </c>
      <c r="F747" s="4">
        <v>93235</v>
      </c>
      <c r="G747" s="4">
        <v>668513</v>
      </c>
      <c r="H747" s="2">
        <v>3737</v>
      </c>
      <c r="I747" s="16">
        <v>26</v>
      </c>
      <c r="J747" s="1">
        <v>45333</v>
      </c>
      <c r="K747" s="3">
        <v>0.13950000000000001</v>
      </c>
      <c r="L747" s="13">
        <f t="shared" si="24"/>
        <v>5.5900184439195648</v>
      </c>
      <c r="M747" s="16">
        <f t="shared" si="25"/>
        <v>3585.9615384615386</v>
      </c>
    </row>
    <row r="748" spans="1:13" x14ac:dyDescent="0.3">
      <c r="A748">
        <v>100746</v>
      </c>
      <c r="B748" t="s">
        <v>18</v>
      </c>
      <c r="C748" t="s">
        <v>14</v>
      </c>
      <c r="D748" t="s">
        <v>12</v>
      </c>
      <c r="E748" s="1">
        <v>45308</v>
      </c>
      <c r="F748" s="4">
        <v>95270</v>
      </c>
      <c r="G748" s="4">
        <v>319951</v>
      </c>
      <c r="H748" s="2">
        <v>4668</v>
      </c>
      <c r="I748" s="16">
        <v>28</v>
      </c>
      <c r="J748" s="1">
        <v>45336</v>
      </c>
      <c r="K748" s="3">
        <v>0.29780000000000001</v>
      </c>
      <c r="L748" s="13">
        <f t="shared" si="24"/>
        <v>14.58973405302687</v>
      </c>
      <c r="M748" s="16">
        <f t="shared" si="25"/>
        <v>3402.5</v>
      </c>
    </row>
    <row r="749" spans="1:13" x14ac:dyDescent="0.3">
      <c r="A749">
        <v>100747</v>
      </c>
      <c r="B749" t="s">
        <v>13</v>
      </c>
      <c r="C749" t="s">
        <v>14</v>
      </c>
      <c r="D749" t="s">
        <v>24</v>
      </c>
      <c r="E749" s="1">
        <v>45309</v>
      </c>
      <c r="F749" s="4">
        <v>95148</v>
      </c>
      <c r="G749" s="4">
        <v>757523</v>
      </c>
      <c r="H749" s="2">
        <v>1407</v>
      </c>
      <c r="I749" s="16">
        <v>5</v>
      </c>
      <c r="J749" s="1">
        <v>45314</v>
      </c>
      <c r="K749" s="3">
        <v>0.12559999999999999</v>
      </c>
      <c r="L749" s="13">
        <f t="shared" si="24"/>
        <v>1.8573693472013391</v>
      </c>
      <c r="M749" s="16">
        <f t="shared" si="25"/>
        <v>19029.599999999999</v>
      </c>
    </row>
    <row r="750" spans="1:13" x14ac:dyDescent="0.3">
      <c r="A750">
        <v>100748</v>
      </c>
      <c r="B750" t="s">
        <v>10</v>
      </c>
      <c r="C750" t="s">
        <v>21</v>
      </c>
      <c r="D750" t="s">
        <v>15</v>
      </c>
      <c r="E750" s="1">
        <v>45310</v>
      </c>
      <c r="F750" s="4">
        <v>21890</v>
      </c>
      <c r="G750" s="4">
        <v>799639</v>
      </c>
      <c r="H750" s="2">
        <v>570</v>
      </c>
      <c r="I750" s="16">
        <v>10</v>
      </c>
      <c r="J750" s="1">
        <v>45320</v>
      </c>
      <c r="K750" s="3">
        <v>2.7400000000000001E-2</v>
      </c>
      <c r="L750" s="13">
        <f t="shared" si="24"/>
        <v>0.71282166077442444</v>
      </c>
      <c r="M750" s="16">
        <f t="shared" si="25"/>
        <v>2189</v>
      </c>
    </row>
    <row r="751" spans="1:13" x14ac:dyDescent="0.3">
      <c r="A751">
        <v>100749</v>
      </c>
      <c r="B751" t="s">
        <v>10</v>
      </c>
      <c r="C751" t="s">
        <v>16</v>
      </c>
      <c r="D751" t="s">
        <v>24</v>
      </c>
      <c r="E751" s="1">
        <v>45311</v>
      </c>
      <c r="F751" s="4">
        <v>92413</v>
      </c>
      <c r="G751" s="4">
        <v>522479</v>
      </c>
      <c r="H751" s="2">
        <v>390</v>
      </c>
      <c r="I751" s="16">
        <v>19</v>
      </c>
      <c r="J751" s="1">
        <v>45330</v>
      </c>
      <c r="K751" s="3">
        <v>0.1769</v>
      </c>
      <c r="L751" s="13">
        <f t="shared" si="24"/>
        <v>0.74644148377255348</v>
      </c>
      <c r="M751" s="16">
        <f t="shared" si="25"/>
        <v>4863.8421052631575</v>
      </c>
    </row>
    <row r="752" spans="1:13" x14ac:dyDescent="0.3">
      <c r="A752">
        <v>100750</v>
      </c>
      <c r="B752" t="s">
        <v>18</v>
      </c>
      <c r="C752" t="s">
        <v>21</v>
      </c>
      <c r="D752" t="s">
        <v>12</v>
      </c>
      <c r="E752" s="1">
        <v>45312</v>
      </c>
      <c r="F752" s="4">
        <v>80884</v>
      </c>
      <c r="G752" s="4">
        <v>923433</v>
      </c>
      <c r="H752" s="2">
        <v>1591</v>
      </c>
      <c r="I752" s="16">
        <v>1</v>
      </c>
      <c r="J752" s="1">
        <v>45313</v>
      </c>
      <c r="K752" s="3">
        <v>8.7599999999999997E-2</v>
      </c>
      <c r="L752" s="13">
        <f t="shared" si="24"/>
        <v>1.7229187174380816</v>
      </c>
      <c r="M752" s="16">
        <f t="shared" si="25"/>
        <v>80884</v>
      </c>
    </row>
    <row r="753" spans="1:13" x14ac:dyDescent="0.3">
      <c r="A753">
        <v>100751</v>
      </c>
      <c r="B753" t="s">
        <v>18</v>
      </c>
      <c r="C753" t="s">
        <v>14</v>
      </c>
      <c r="D753" t="s">
        <v>12</v>
      </c>
      <c r="E753" s="1">
        <v>45313</v>
      </c>
      <c r="F753" s="4">
        <v>33718</v>
      </c>
      <c r="G753" s="4">
        <v>689929</v>
      </c>
      <c r="H753" s="2">
        <v>611</v>
      </c>
      <c r="I753" s="16">
        <v>17</v>
      </c>
      <c r="J753" s="1">
        <v>45330</v>
      </c>
      <c r="K753" s="3">
        <v>4.8899999999999999E-2</v>
      </c>
      <c r="L753" s="13">
        <f t="shared" si="24"/>
        <v>0.88559837316593448</v>
      </c>
      <c r="M753" s="16">
        <f t="shared" si="25"/>
        <v>1983.4117647058824</v>
      </c>
    </row>
    <row r="754" spans="1:13" x14ac:dyDescent="0.3">
      <c r="A754">
        <v>100752</v>
      </c>
      <c r="B754" t="s">
        <v>18</v>
      </c>
      <c r="C754" t="s">
        <v>11</v>
      </c>
      <c r="D754" t="s">
        <v>15</v>
      </c>
      <c r="E754" s="1">
        <v>45314</v>
      </c>
      <c r="F754" s="4">
        <v>6106</v>
      </c>
      <c r="G754" s="4">
        <v>907816</v>
      </c>
      <c r="H754" s="2">
        <v>3707</v>
      </c>
      <c r="I754" s="16">
        <v>29</v>
      </c>
      <c r="J754" s="1">
        <v>45343</v>
      </c>
      <c r="K754" s="3">
        <v>6.7000000000000002E-3</v>
      </c>
      <c r="L754" s="13">
        <f t="shared" si="24"/>
        <v>4.0834265974602788</v>
      </c>
      <c r="M754" s="16">
        <f t="shared" si="25"/>
        <v>210.55172413793105</v>
      </c>
    </row>
    <row r="755" spans="1:13" x14ac:dyDescent="0.3">
      <c r="A755">
        <v>100753</v>
      </c>
      <c r="B755" t="s">
        <v>13</v>
      </c>
      <c r="C755" t="s">
        <v>25</v>
      </c>
      <c r="D755" t="s">
        <v>22</v>
      </c>
      <c r="E755" s="1">
        <v>45315</v>
      </c>
      <c r="F755" s="4">
        <v>24656</v>
      </c>
      <c r="G755" s="4">
        <v>629463</v>
      </c>
      <c r="H755" s="2">
        <v>4437</v>
      </c>
      <c r="I755" s="16">
        <v>27</v>
      </c>
      <c r="J755" s="1">
        <v>45342</v>
      </c>
      <c r="K755" s="3">
        <v>3.9199999999999999E-2</v>
      </c>
      <c r="L755" s="13">
        <f t="shared" si="24"/>
        <v>7.048865461512432</v>
      </c>
      <c r="M755" s="16">
        <f t="shared" si="25"/>
        <v>913.18518518518522</v>
      </c>
    </row>
    <row r="756" spans="1:13" x14ac:dyDescent="0.3">
      <c r="A756">
        <v>100754</v>
      </c>
      <c r="B756" t="s">
        <v>13</v>
      </c>
      <c r="C756" t="s">
        <v>21</v>
      </c>
      <c r="D756" t="s">
        <v>17</v>
      </c>
      <c r="E756" s="1">
        <v>45316</v>
      </c>
      <c r="F756" s="4">
        <v>22190</v>
      </c>
      <c r="G756" s="4">
        <v>388722</v>
      </c>
      <c r="H756" s="2">
        <v>2372</v>
      </c>
      <c r="I756" s="16">
        <v>21</v>
      </c>
      <c r="J756" s="1">
        <v>45337</v>
      </c>
      <c r="K756" s="3">
        <v>5.7099999999999998E-2</v>
      </c>
      <c r="L756" s="13">
        <f t="shared" si="24"/>
        <v>6.1020472214075872</v>
      </c>
      <c r="M756" s="16">
        <f t="shared" si="25"/>
        <v>1056.6666666666667</v>
      </c>
    </row>
    <row r="757" spans="1:13" x14ac:dyDescent="0.3">
      <c r="A757">
        <v>100755</v>
      </c>
      <c r="B757" t="s">
        <v>18</v>
      </c>
      <c r="C757" t="s">
        <v>14</v>
      </c>
      <c r="D757" t="s">
        <v>12</v>
      </c>
      <c r="E757" s="1">
        <v>45317</v>
      </c>
      <c r="F757" s="4">
        <v>57592</v>
      </c>
      <c r="G757" s="4">
        <v>392281</v>
      </c>
      <c r="H757" s="2">
        <v>700</v>
      </c>
      <c r="I757" s="16">
        <v>5</v>
      </c>
      <c r="J757" s="1">
        <v>45322</v>
      </c>
      <c r="K757" s="3">
        <v>0.14680000000000001</v>
      </c>
      <c r="L757" s="13">
        <f t="shared" si="24"/>
        <v>1.7844351370573643</v>
      </c>
      <c r="M757" s="16">
        <f t="shared" si="25"/>
        <v>11518.4</v>
      </c>
    </row>
    <row r="758" spans="1:13" x14ac:dyDescent="0.3">
      <c r="A758">
        <v>100756</v>
      </c>
      <c r="B758" t="s">
        <v>18</v>
      </c>
      <c r="C758" t="s">
        <v>14</v>
      </c>
      <c r="D758" t="s">
        <v>17</v>
      </c>
      <c r="E758" s="1">
        <v>45318</v>
      </c>
      <c r="F758" s="4">
        <v>64299</v>
      </c>
      <c r="G758" s="4">
        <v>672616</v>
      </c>
      <c r="H758" s="2">
        <v>4402</v>
      </c>
      <c r="I758" s="16">
        <v>25</v>
      </c>
      <c r="J758" s="1">
        <v>45343</v>
      </c>
      <c r="K758" s="3">
        <v>9.5600000000000004E-2</v>
      </c>
      <c r="L758" s="13">
        <f t="shared" si="24"/>
        <v>6.5445960250722548</v>
      </c>
      <c r="M758" s="16">
        <f t="shared" si="25"/>
        <v>2571.96</v>
      </c>
    </row>
    <row r="759" spans="1:13" x14ac:dyDescent="0.3">
      <c r="A759">
        <v>100757</v>
      </c>
      <c r="B759" t="s">
        <v>19</v>
      </c>
      <c r="C759" t="s">
        <v>21</v>
      </c>
      <c r="D759" t="s">
        <v>12</v>
      </c>
      <c r="E759" s="1">
        <v>45319</v>
      </c>
      <c r="F759" s="4">
        <v>16534</v>
      </c>
      <c r="G759" s="4">
        <v>787070</v>
      </c>
      <c r="H759" s="2">
        <v>2007</v>
      </c>
      <c r="I759" s="16">
        <v>22</v>
      </c>
      <c r="J759" s="1">
        <v>45341</v>
      </c>
      <c r="K759" s="3">
        <v>2.1000000000000001E-2</v>
      </c>
      <c r="L759" s="13">
        <f t="shared" si="24"/>
        <v>2.5499637897518643</v>
      </c>
      <c r="M759" s="16">
        <f t="shared" si="25"/>
        <v>751.5454545454545</v>
      </c>
    </row>
    <row r="760" spans="1:13" x14ac:dyDescent="0.3">
      <c r="A760">
        <v>100758</v>
      </c>
      <c r="B760" t="s">
        <v>18</v>
      </c>
      <c r="C760" t="s">
        <v>21</v>
      </c>
      <c r="D760" t="s">
        <v>24</v>
      </c>
      <c r="E760" s="1">
        <v>45320</v>
      </c>
      <c r="F760" s="4">
        <v>11081</v>
      </c>
      <c r="G760" s="4">
        <v>745197</v>
      </c>
      <c r="H760" s="2">
        <v>2463</v>
      </c>
      <c r="I760" s="16">
        <v>9</v>
      </c>
      <c r="J760" s="1">
        <v>45329</v>
      </c>
      <c r="K760" s="3">
        <v>1.49E-2</v>
      </c>
      <c r="L760" s="13">
        <f t="shared" si="24"/>
        <v>3.3051662848884256</v>
      </c>
      <c r="M760" s="16">
        <f t="shared" si="25"/>
        <v>1231.2222222222222</v>
      </c>
    </row>
    <row r="761" spans="1:13" x14ac:dyDescent="0.3">
      <c r="A761">
        <v>100759</v>
      </c>
      <c r="B761" t="s">
        <v>13</v>
      </c>
      <c r="C761" t="s">
        <v>11</v>
      </c>
      <c r="D761" t="s">
        <v>15</v>
      </c>
      <c r="E761" s="1">
        <v>45321</v>
      </c>
      <c r="F761" s="4">
        <v>25597</v>
      </c>
      <c r="G761" s="4">
        <v>719040</v>
      </c>
      <c r="H761" s="2">
        <v>4662</v>
      </c>
      <c r="I761" s="16">
        <v>23</v>
      </c>
      <c r="J761" s="1">
        <v>45344</v>
      </c>
      <c r="K761" s="3">
        <v>3.56E-2</v>
      </c>
      <c r="L761" s="13">
        <f t="shared" si="24"/>
        <v>6.4836448598130838</v>
      </c>
      <c r="M761" s="16">
        <f t="shared" si="25"/>
        <v>1112.9130434782608</v>
      </c>
    </row>
    <row r="762" spans="1:13" x14ac:dyDescent="0.3">
      <c r="A762">
        <v>100760</v>
      </c>
      <c r="B762" t="s">
        <v>10</v>
      </c>
      <c r="C762" t="s">
        <v>20</v>
      </c>
      <c r="D762" t="s">
        <v>15</v>
      </c>
      <c r="E762" s="1">
        <v>45322</v>
      </c>
      <c r="F762" s="4">
        <v>82376</v>
      </c>
      <c r="G762" s="4">
        <v>116454</v>
      </c>
      <c r="H762" s="2">
        <v>2799</v>
      </c>
      <c r="I762" s="16">
        <v>17</v>
      </c>
      <c r="J762" s="1">
        <v>45339</v>
      </c>
      <c r="K762" s="3">
        <v>0.70740000000000003</v>
      </c>
      <c r="L762" s="13">
        <f t="shared" si="24"/>
        <v>24.035241382863621</v>
      </c>
      <c r="M762" s="16">
        <f t="shared" si="25"/>
        <v>4845.6470588235297</v>
      </c>
    </row>
    <row r="763" spans="1:13" x14ac:dyDescent="0.3">
      <c r="A763">
        <v>100761</v>
      </c>
      <c r="B763" t="s">
        <v>18</v>
      </c>
      <c r="C763" t="s">
        <v>21</v>
      </c>
      <c r="D763" t="s">
        <v>17</v>
      </c>
      <c r="E763" s="1">
        <v>45323</v>
      </c>
      <c r="F763" s="4">
        <v>55449</v>
      </c>
      <c r="G763" s="4">
        <v>713111</v>
      </c>
      <c r="H763" s="2">
        <v>1608</v>
      </c>
      <c r="I763" s="16">
        <v>6</v>
      </c>
      <c r="J763" s="1">
        <v>45329</v>
      </c>
      <c r="K763" s="3">
        <v>7.7799999999999994E-2</v>
      </c>
      <c r="L763" s="13">
        <f t="shared" si="24"/>
        <v>2.2549084223914648</v>
      </c>
      <c r="M763" s="16">
        <f t="shared" si="25"/>
        <v>9241.5</v>
      </c>
    </row>
    <row r="764" spans="1:13" x14ac:dyDescent="0.3">
      <c r="A764">
        <v>100762</v>
      </c>
      <c r="B764" t="s">
        <v>18</v>
      </c>
      <c r="C764" t="s">
        <v>14</v>
      </c>
      <c r="D764" t="s">
        <v>22</v>
      </c>
      <c r="E764" s="1">
        <v>45324</v>
      </c>
      <c r="F764" s="4">
        <v>84630</v>
      </c>
      <c r="G764" s="4">
        <v>208035</v>
      </c>
      <c r="H764" s="2">
        <v>615</v>
      </c>
      <c r="I764" s="16">
        <v>23</v>
      </c>
      <c r="J764" s="1">
        <v>45347</v>
      </c>
      <c r="K764" s="3">
        <v>0.40679999999999999</v>
      </c>
      <c r="L764" s="13">
        <f t="shared" si="24"/>
        <v>2.9562333261230083</v>
      </c>
      <c r="M764" s="16">
        <f t="shared" si="25"/>
        <v>3679.5652173913045</v>
      </c>
    </row>
    <row r="765" spans="1:13" x14ac:dyDescent="0.3">
      <c r="A765">
        <v>100763</v>
      </c>
      <c r="B765" t="s">
        <v>18</v>
      </c>
      <c r="C765" t="s">
        <v>16</v>
      </c>
      <c r="D765" t="s">
        <v>15</v>
      </c>
      <c r="E765" s="1">
        <v>45325</v>
      </c>
      <c r="F765" s="4">
        <v>89250</v>
      </c>
      <c r="G765" s="4">
        <v>388363</v>
      </c>
      <c r="H765" s="2">
        <v>4483</v>
      </c>
      <c r="I765" s="16">
        <v>15</v>
      </c>
      <c r="J765" s="1">
        <v>45340</v>
      </c>
      <c r="K765" s="3">
        <v>0.2298</v>
      </c>
      <c r="L765" s="13">
        <f t="shared" si="24"/>
        <v>11.543324158068611</v>
      </c>
      <c r="M765" s="16">
        <f t="shared" si="25"/>
        <v>5950</v>
      </c>
    </row>
    <row r="766" spans="1:13" x14ac:dyDescent="0.3">
      <c r="A766">
        <v>100764</v>
      </c>
      <c r="B766" t="s">
        <v>19</v>
      </c>
      <c r="C766" t="s">
        <v>21</v>
      </c>
      <c r="D766" t="s">
        <v>24</v>
      </c>
      <c r="E766" s="1">
        <v>45326</v>
      </c>
      <c r="F766" s="4">
        <v>32045</v>
      </c>
      <c r="G766" s="4">
        <v>57860</v>
      </c>
      <c r="H766" s="2">
        <v>941</v>
      </c>
      <c r="I766" s="16">
        <v>8</v>
      </c>
      <c r="J766" s="1">
        <v>45334</v>
      </c>
      <c r="K766" s="3">
        <v>0.55379999999999996</v>
      </c>
      <c r="L766" s="13">
        <f t="shared" si="24"/>
        <v>16.263394400276532</v>
      </c>
      <c r="M766" s="16">
        <f t="shared" si="25"/>
        <v>4005.625</v>
      </c>
    </row>
    <row r="767" spans="1:13" x14ac:dyDescent="0.3">
      <c r="A767">
        <v>100765</v>
      </c>
      <c r="B767" t="s">
        <v>18</v>
      </c>
      <c r="C767" t="s">
        <v>21</v>
      </c>
      <c r="D767" t="s">
        <v>17</v>
      </c>
      <c r="E767" s="1">
        <v>45327</v>
      </c>
      <c r="F767" s="4">
        <v>44947</v>
      </c>
      <c r="G767" s="4">
        <v>653872</v>
      </c>
      <c r="H767" s="2">
        <v>1762</v>
      </c>
      <c r="I767" s="16">
        <v>16</v>
      </c>
      <c r="J767" s="1">
        <v>45343</v>
      </c>
      <c r="K767" s="3">
        <v>6.8699999999999997E-2</v>
      </c>
      <c r="L767" s="13">
        <f t="shared" si="24"/>
        <v>2.6947170088335328</v>
      </c>
      <c r="M767" s="16">
        <f t="shared" si="25"/>
        <v>2809.1875</v>
      </c>
    </row>
    <row r="768" spans="1:13" x14ac:dyDescent="0.3">
      <c r="A768">
        <v>100766</v>
      </c>
      <c r="B768" t="s">
        <v>18</v>
      </c>
      <c r="C768" t="s">
        <v>23</v>
      </c>
      <c r="D768" t="s">
        <v>12</v>
      </c>
      <c r="E768" s="1">
        <v>45328</v>
      </c>
      <c r="F768" s="4">
        <v>91274</v>
      </c>
      <c r="G768" s="4">
        <v>499968</v>
      </c>
      <c r="H768" s="2">
        <v>1516</v>
      </c>
      <c r="I768" s="16">
        <v>23</v>
      </c>
      <c r="J768" s="1">
        <v>45351</v>
      </c>
      <c r="K768" s="3">
        <v>0.18260000000000001</v>
      </c>
      <c r="L768" s="13">
        <f t="shared" si="24"/>
        <v>3.0321940604198669</v>
      </c>
      <c r="M768" s="16">
        <f t="shared" si="25"/>
        <v>3968.4347826086955</v>
      </c>
    </row>
    <row r="769" spans="1:13" x14ac:dyDescent="0.3">
      <c r="A769">
        <v>100767</v>
      </c>
      <c r="B769" t="s">
        <v>18</v>
      </c>
      <c r="C769" t="s">
        <v>11</v>
      </c>
      <c r="D769" t="s">
        <v>24</v>
      </c>
      <c r="E769" s="1">
        <v>45329</v>
      </c>
      <c r="F769" s="4">
        <v>76146</v>
      </c>
      <c r="G769" s="4">
        <v>326238</v>
      </c>
      <c r="H769" s="2">
        <v>610</v>
      </c>
      <c r="I769" s="16">
        <v>19</v>
      </c>
      <c r="J769" s="1">
        <v>45348</v>
      </c>
      <c r="K769" s="3">
        <v>0.2334</v>
      </c>
      <c r="L769" s="13">
        <f t="shared" si="24"/>
        <v>1.8698005750403079</v>
      </c>
      <c r="M769" s="16">
        <f t="shared" si="25"/>
        <v>4007.6842105263158</v>
      </c>
    </row>
    <row r="770" spans="1:13" x14ac:dyDescent="0.3">
      <c r="A770">
        <v>100768</v>
      </c>
      <c r="B770" t="s">
        <v>18</v>
      </c>
      <c r="C770" t="s">
        <v>20</v>
      </c>
      <c r="D770" t="s">
        <v>12</v>
      </c>
      <c r="E770" s="1">
        <v>45330</v>
      </c>
      <c r="F770" s="4">
        <v>23429</v>
      </c>
      <c r="G770" s="4">
        <v>499160</v>
      </c>
      <c r="H770" s="2">
        <v>4332</v>
      </c>
      <c r="I770" s="16">
        <v>18</v>
      </c>
      <c r="J770" s="1">
        <v>45348</v>
      </c>
      <c r="K770" s="3">
        <v>4.6899999999999997E-2</v>
      </c>
      <c r="L770" s="13">
        <f t="shared" ref="L770:L833" si="26">H770/G770*1000</f>
        <v>8.6785800144242327</v>
      </c>
      <c r="M770" s="16">
        <f t="shared" ref="M770:M833" si="27">IFERROR(F770/I770,"No Data")</f>
        <v>1301.6111111111111</v>
      </c>
    </row>
    <row r="771" spans="1:13" x14ac:dyDescent="0.3">
      <c r="A771">
        <v>100769</v>
      </c>
      <c r="B771" t="s">
        <v>13</v>
      </c>
      <c r="C771" t="s">
        <v>14</v>
      </c>
      <c r="D771" t="s">
        <v>17</v>
      </c>
      <c r="E771" s="1">
        <v>45331</v>
      </c>
      <c r="F771" s="4">
        <v>66511</v>
      </c>
      <c r="G771" s="4">
        <v>743862</v>
      </c>
      <c r="H771" s="2">
        <v>1442</v>
      </c>
      <c r="I771" s="16">
        <v>1</v>
      </c>
      <c r="J771" s="1">
        <v>45332</v>
      </c>
      <c r="K771" s="3">
        <v>8.9399999999999993E-2</v>
      </c>
      <c r="L771" s="13">
        <f t="shared" si="26"/>
        <v>1.9385316093576497</v>
      </c>
      <c r="M771" s="16">
        <f t="shared" si="27"/>
        <v>66511</v>
      </c>
    </row>
    <row r="772" spans="1:13" x14ac:dyDescent="0.3">
      <c r="A772">
        <v>100770</v>
      </c>
      <c r="B772" t="s">
        <v>18</v>
      </c>
      <c r="C772" t="s">
        <v>16</v>
      </c>
      <c r="D772" t="s">
        <v>12</v>
      </c>
      <c r="E772" s="1">
        <v>45332</v>
      </c>
      <c r="F772" s="4">
        <v>27151</v>
      </c>
      <c r="G772" s="4">
        <v>523824</v>
      </c>
      <c r="H772" s="2">
        <v>2847</v>
      </c>
      <c r="I772" s="16">
        <v>14</v>
      </c>
      <c r="J772" s="1">
        <v>45346</v>
      </c>
      <c r="K772" s="3">
        <v>5.1799999999999999E-2</v>
      </c>
      <c r="L772" s="13">
        <f t="shared" si="26"/>
        <v>5.435031613671768</v>
      </c>
      <c r="M772" s="16">
        <f t="shared" si="27"/>
        <v>1939.3571428571429</v>
      </c>
    </row>
    <row r="773" spans="1:13" x14ac:dyDescent="0.3">
      <c r="A773">
        <v>100771</v>
      </c>
      <c r="B773" t="s">
        <v>13</v>
      </c>
      <c r="C773" t="s">
        <v>25</v>
      </c>
      <c r="D773" t="s">
        <v>24</v>
      </c>
      <c r="E773" s="1">
        <v>45333</v>
      </c>
      <c r="F773" s="4">
        <v>60809</v>
      </c>
      <c r="G773" s="4">
        <v>203922</v>
      </c>
      <c r="H773" s="2">
        <v>1814</v>
      </c>
      <c r="I773" s="16">
        <v>29</v>
      </c>
      <c r="J773" s="1">
        <v>45362</v>
      </c>
      <c r="K773" s="3">
        <v>0.29820000000000002</v>
      </c>
      <c r="L773" s="13">
        <f t="shared" si="26"/>
        <v>8.8955581055501618</v>
      </c>
      <c r="M773" s="16">
        <f t="shared" si="27"/>
        <v>2096.8620689655172</v>
      </c>
    </row>
    <row r="774" spans="1:13" x14ac:dyDescent="0.3">
      <c r="A774">
        <v>100772</v>
      </c>
      <c r="B774" t="s">
        <v>13</v>
      </c>
      <c r="C774" t="s">
        <v>23</v>
      </c>
      <c r="D774" t="s">
        <v>22</v>
      </c>
      <c r="E774" s="1">
        <v>45334</v>
      </c>
      <c r="F774" s="4">
        <v>24734</v>
      </c>
      <c r="G774" s="4">
        <v>579983</v>
      </c>
      <c r="H774" s="2">
        <v>523</v>
      </c>
      <c r="I774" s="16">
        <v>20</v>
      </c>
      <c r="J774" s="1">
        <v>45354</v>
      </c>
      <c r="K774" s="3">
        <v>4.2599999999999999E-2</v>
      </c>
      <c r="L774" s="13">
        <f t="shared" si="26"/>
        <v>0.90175056855114721</v>
      </c>
      <c r="M774" s="16">
        <f t="shared" si="27"/>
        <v>1236.7</v>
      </c>
    </row>
    <row r="775" spans="1:13" x14ac:dyDescent="0.3">
      <c r="A775">
        <v>100773</v>
      </c>
      <c r="B775" t="s">
        <v>10</v>
      </c>
      <c r="C775" t="s">
        <v>14</v>
      </c>
      <c r="D775" t="s">
        <v>15</v>
      </c>
      <c r="E775" s="1">
        <v>45335</v>
      </c>
      <c r="F775" s="4">
        <v>10973</v>
      </c>
      <c r="G775" s="4">
        <v>963940</v>
      </c>
      <c r="H775" s="2">
        <v>3371</v>
      </c>
      <c r="I775" s="16">
        <v>13</v>
      </c>
      <c r="J775" s="1">
        <v>45348</v>
      </c>
      <c r="K775" s="3">
        <v>1.14E-2</v>
      </c>
      <c r="L775" s="13">
        <f t="shared" si="26"/>
        <v>3.4971056289810569</v>
      </c>
      <c r="M775" s="16">
        <f t="shared" si="27"/>
        <v>844.07692307692309</v>
      </c>
    </row>
    <row r="776" spans="1:13" x14ac:dyDescent="0.3">
      <c r="A776">
        <v>100774</v>
      </c>
      <c r="B776" t="s">
        <v>18</v>
      </c>
      <c r="C776" t="s">
        <v>20</v>
      </c>
      <c r="D776" t="s">
        <v>12</v>
      </c>
      <c r="E776" s="1">
        <v>45336</v>
      </c>
      <c r="F776" s="4">
        <v>44718</v>
      </c>
      <c r="G776" s="4">
        <v>105119</v>
      </c>
      <c r="H776" s="2">
        <v>2749</v>
      </c>
      <c r="I776" s="16">
        <v>11</v>
      </c>
      <c r="J776" s="1">
        <f t="shared" ref="J776" si="28">E776+I776</f>
        <v>45347</v>
      </c>
      <c r="K776" s="3">
        <v>0.4254</v>
      </c>
      <c r="L776" s="13">
        <f t="shared" si="26"/>
        <v>26.151314224830905</v>
      </c>
      <c r="M776" s="16">
        <f t="shared" si="27"/>
        <v>4065.2727272727275</v>
      </c>
    </row>
    <row r="777" spans="1:13" x14ac:dyDescent="0.3">
      <c r="A777">
        <v>100775</v>
      </c>
      <c r="B777" t="s">
        <v>10</v>
      </c>
      <c r="C777" t="s">
        <v>21</v>
      </c>
      <c r="D777" t="s">
        <v>22</v>
      </c>
      <c r="E777" s="1">
        <v>45337</v>
      </c>
      <c r="F777" s="4">
        <v>80141</v>
      </c>
      <c r="G777" s="4">
        <v>728154</v>
      </c>
      <c r="H777" s="2">
        <v>3144</v>
      </c>
      <c r="I777" s="16">
        <v>10</v>
      </c>
      <c r="J777" s="1">
        <v>45347</v>
      </c>
      <c r="K777" s="3">
        <v>0.1101</v>
      </c>
      <c r="L777" s="13">
        <f t="shared" si="26"/>
        <v>4.3177679446930188</v>
      </c>
      <c r="M777" s="16">
        <f t="shared" si="27"/>
        <v>8014.1</v>
      </c>
    </row>
    <row r="778" spans="1:13" x14ac:dyDescent="0.3">
      <c r="A778">
        <v>100776</v>
      </c>
      <c r="B778" t="s">
        <v>13</v>
      </c>
      <c r="C778" t="s">
        <v>23</v>
      </c>
      <c r="D778" t="s">
        <v>24</v>
      </c>
      <c r="E778" s="1">
        <v>45338</v>
      </c>
      <c r="F778" s="4">
        <v>70379</v>
      </c>
      <c r="G778" s="4">
        <v>838965</v>
      </c>
      <c r="H778" s="2">
        <v>4159</v>
      </c>
      <c r="I778" s="16">
        <v>1</v>
      </c>
      <c r="J778" s="1">
        <v>45339</v>
      </c>
      <c r="K778" s="3">
        <v>8.3900000000000002E-2</v>
      </c>
      <c r="L778" s="13">
        <f t="shared" si="26"/>
        <v>4.9572985762218931</v>
      </c>
      <c r="M778" s="16">
        <f t="shared" si="27"/>
        <v>70379</v>
      </c>
    </row>
    <row r="779" spans="1:13" x14ac:dyDescent="0.3">
      <c r="A779">
        <v>100777</v>
      </c>
      <c r="B779" t="s">
        <v>18</v>
      </c>
      <c r="C779" t="s">
        <v>25</v>
      </c>
      <c r="D779" t="s">
        <v>22</v>
      </c>
      <c r="E779" s="1">
        <v>45339</v>
      </c>
      <c r="F779" s="4">
        <v>89814</v>
      </c>
      <c r="G779" s="4">
        <v>847051</v>
      </c>
      <c r="H779" s="2">
        <v>1109</v>
      </c>
      <c r="I779" s="16">
        <v>28</v>
      </c>
      <c r="J779" s="1">
        <v>45367</v>
      </c>
      <c r="K779" s="3">
        <v>0.106</v>
      </c>
      <c r="L779" s="13">
        <f t="shared" si="26"/>
        <v>1.3092482034729904</v>
      </c>
      <c r="M779" s="16">
        <f t="shared" si="27"/>
        <v>3207.6428571428573</v>
      </c>
    </row>
    <row r="780" spans="1:13" x14ac:dyDescent="0.3">
      <c r="A780">
        <v>100778</v>
      </c>
      <c r="B780" t="s">
        <v>10</v>
      </c>
      <c r="C780" t="s">
        <v>16</v>
      </c>
      <c r="D780" t="s">
        <v>22</v>
      </c>
      <c r="E780" s="1">
        <v>45340</v>
      </c>
      <c r="F780" s="4">
        <v>46384</v>
      </c>
      <c r="G780" s="4">
        <v>798726</v>
      </c>
      <c r="H780" s="2">
        <v>3863</v>
      </c>
      <c r="I780" s="16">
        <v>7</v>
      </c>
      <c r="J780" s="1">
        <v>45347</v>
      </c>
      <c r="K780" s="3">
        <v>5.8099999999999999E-2</v>
      </c>
      <c r="L780" s="13">
        <f t="shared" si="26"/>
        <v>4.8364520498894494</v>
      </c>
      <c r="M780" s="16">
        <f t="shared" si="27"/>
        <v>6626.2857142857147</v>
      </c>
    </row>
    <row r="781" spans="1:13" x14ac:dyDescent="0.3">
      <c r="A781">
        <v>100779</v>
      </c>
      <c r="B781" t="s">
        <v>10</v>
      </c>
      <c r="C781" t="s">
        <v>21</v>
      </c>
      <c r="D781" t="s">
        <v>22</v>
      </c>
      <c r="E781" s="1">
        <v>45341</v>
      </c>
      <c r="F781" s="4">
        <v>87146</v>
      </c>
      <c r="G781" s="4">
        <v>460045</v>
      </c>
      <c r="H781" s="2">
        <v>287</v>
      </c>
      <c r="I781" s="16">
        <v>12</v>
      </c>
      <c r="J781" s="1">
        <v>45353</v>
      </c>
      <c r="K781" s="3">
        <v>0.18940000000000001</v>
      </c>
      <c r="L781" s="13">
        <f t="shared" si="26"/>
        <v>0.62385201447684469</v>
      </c>
      <c r="M781" s="16">
        <f t="shared" si="27"/>
        <v>7262.166666666667</v>
      </c>
    </row>
    <row r="782" spans="1:13" x14ac:dyDescent="0.3">
      <c r="A782">
        <v>100780</v>
      </c>
      <c r="B782" t="s">
        <v>18</v>
      </c>
      <c r="C782" t="s">
        <v>25</v>
      </c>
      <c r="D782" t="s">
        <v>12</v>
      </c>
      <c r="E782" s="1">
        <v>45342</v>
      </c>
      <c r="F782" s="4">
        <v>31311</v>
      </c>
      <c r="G782" s="4">
        <v>830973</v>
      </c>
      <c r="H782" s="2">
        <v>2573</v>
      </c>
      <c r="I782" s="16">
        <v>3</v>
      </c>
      <c r="J782" s="1">
        <v>45345</v>
      </c>
      <c r="K782" s="3">
        <v>3.7699999999999997E-2</v>
      </c>
      <c r="L782" s="13">
        <f t="shared" si="26"/>
        <v>3.0963701588378925</v>
      </c>
      <c r="M782" s="16">
        <f t="shared" si="27"/>
        <v>10437</v>
      </c>
    </row>
    <row r="783" spans="1:13" x14ac:dyDescent="0.3">
      <c r="A783">
        <v>100781</v>
      </c>
      <c r="B783" t="s">
        <v>19</v>
      </c>
      <c r="C783" t="s">
        <v>20</v>
      </c>
      <c r="D783" t="s">
        <v>24</v>
      </c>
      <c r="E783" s="1">
        <v>45343</v>
      </c>
      <c r="F783" s="4">
        <v>67165</v>
      </c>
      <c r="G783" s="4">
        <v>136694</v>
      </c>
      <c r="H783" s="2">
        <v>1401</v>
      </c>
      <c r="I783" s="16">
        <v>2</v>
      </c>
      <c r="J783" s="1">
        <v>45345</v>
      </c>
      <c r="K783" s="3">
        <v>0.4914</v>
      </c>
      <c r="L783" s="13">
        <f t="shared" si="26"/>
        <v>10.24916967825947</v>
      </c>
      <c r="M783" s="16">
        <f t="shared" si="27"/>
        <v>33582.5</v>
      </c>
    </row>
    <row r="784" spans="1:13" x14ac:dyDescent="0.3">
      <c r="A784">
        <v>100782</v>
      </c>
      <c r="B784" t="s">
        <v>13</v>
      </c>
      <c r="C784" t="s">
        <v>21</v>
      </c>
      <c r="D784" t="s">
        <v>12</v>
      </c>
      <c r="E784" s="1">
        <v>45344</v>
      </c>
      <c r="F784" s="4">
        <v>6405</v>
      </c>
      <c r="G784" s="4">
        <v>770408</v>
      </c>
      <c r="H784" s="2">
        <v>2055</v>
      </c>
      <c r="I784" s="16">
        <v>4</v>
      </c>
      <c r="J784" s="1">
        <v>45348</v>
      </c>
      <c r="K784" s="3">
        <v>8.3000000000000001E-3</v>
      </c>
      <c r="L784" s="13">
        <f t="shared" si="26"/>
        <v>2.6674177838236361</v>
      </c>
      <c r="M784" s="16">
        <f t="shared" si="27"/>
        <v>1601.25</v>
      </c>
    </row>
    <row r="785" spans="1:13" x14ac:dyDescent="0.3">
      <c r="A785">
        <v>100783</v>
      </c>
      <c r="B785" t="s">
        <v>13</v>
      </c>
      <c r="C785" t="s">
        <v>11</v>
      </c>
      <c r="D785" t="s">
        <v>12</v>
      </c>
      <c r="E785" s="1">
        <v>45345</v>
      </c>
      <c r="F785" s="4">
        <v>3551</v>
      </c>
      <c r="G785" s="4">
        <v>734693</v>
      </c>
      <c r="H785" s="2">
        <v>1695</v>
      </c>
      <c r="I785" s="16">
        <v>20</v>
      </c>
      <c r="J785" s="1">
        <v>45365</v>
      </c>
      <c r="K785" s="3">
        <v>4.7999999999999996E-3</v>
      </c>
      <c r="L785" s="13">
        <f t="shared" si="26"/>
        <v>2.3070860890194953</v>
      </c>
      <c r="M785" s="16">
        <f t="shared" si="27"/>
        <v>177.55</v>
      </c>
    </row>
    <row r="786" spans="1:13" x14ac:dyDescent="0.3">
      <c r="A786">
        <v>100784</v>
      </c>
      <c r="B786" t="s">
        <v>19</v>
      </c>
      <c r="C786" t="s">
        <v>21</v>
      </c>
      <c r="D786" t="s">
        <v>22</v>
      </c>
      <c r="E786" s="1">
        <v>45346</v>
      </c>
      <c r="F786" s="4">
        <v>57505</v>
      </c>
      <c r="G786" s="4">
        <v>54653</v>
      </c>
      <c r="H786" s="2">
        <v>4810</v>
      </c>
      <c r="I786" s="16">
        <v>2</v>
      </c>
      <c r="J786" s="1">
        <v>45348</v>
      </c>
      <c r="K786" s="3">
        <v>1.0522</v>
      </c>
      <c r="L786" s="13">
        <f t="shared" si="26"/>
        <v>88.009807329881255</v>
      </c>
      <c r="M786" s="16">
        <f t="shared" si="27"/>
        <v>28752.5</v>
      </c>
    </row>
    <row r="787" spans="1:13" x14ac:dyDescent="0.3">
      <c r="A787">
        <v>100785</v>
      </c>
      <c r="B787" t="s">
        <v>18</v>
      </c>
      <c r="C787" t="s">
        <v>14</v>
      </c>
      <c r="D787" t="s">
        <v>12</v>
      </c>
      <c r="E787" s="1">
        <v>45347</v>
      </c>
      <c r="F787" s="4">
        <v>44667</v>
      </c>
      <c r="G787" s="4">
        <v>662637</v>
      </c>
      <c r="H787" s="2">
        <v>2761</v>
      </c>
      <c r="I787" s="16">
        <v>11</v>
      </c>
      <c r="J787" s="1">
        <v>45358</v>
      </c>
      <c r="K787" s="3">
        <v>6.7400000000000002E-2</v>
      </c>
      <c r="L787" s="13">
        <f t="shared" si="26"/>
        <v>4.1666855306902573</v>
      </c>
      <c r="M787" s="16">
        <f t="shared" si="27"/>
        <v>4060.6363636363635</v>
      </c>
    </row>
    <row r="788" spans="1:13" x14ac:dyDescent="0.3">
      <c r="A788">
        <v>100786</v>
      </c>
      <c r="B788" t="s">
        <v>10</v>
      </c>
      <c r="C788" t="s">
        <v>25</v>
      </c>
      <c r="D788" t="s">
        <v>24</v>
      </c>
      <c r="E788" s="1">
        <v>45348</v>
      </c>
      <c r="F788" s="4">
        <v>71775</v>
      </c>
      <c r="G788" s="4">
        <v>268585</v>
      </c>
      <c r="H788" s="2">
        <v>4789</v>
      </c>
      <c r="I788" s="16">
        <v>29</v>
      </c>
      <c r="J788" s="1">
        <v>45377</v>
      </c>
      <c r="K788" s="3">
        <v>0.26719999999999999</v>
      </c>
      <c r="L788" s="13">
        <f t="shared" si="26"/>
        <v>17.830481970325966</v>
      </c>
      <c r="M788" s="16">
        <f t="shared" si="27"/>
        <v>2475</v>
      </c>
    </row>
    <row r="789" spans="1:13" x14ac:dyDescent="0.3">
      <c r="A789">
        <v>100787</v>
      </c>
      <c r="B789" t="s">
        <v>18</v>
      </c>
      <c r="C789" t="s">
        <v>11</v>
      </c>
      <c r="D789" t="s">
        <v>24</v>
      </c>
      <c r="E789" s="1">
        <v>45349</v>
      </c>
      <c r="F789" s="4">
        <v>61612</v>
      </c>
      <c r="G789" s="4">
        <v>223921</v>
      </c>
      <c r="H789" s="2">
        <v>2865</v>
      </c>
      <c r="I789" s="16">
        <v>4</v>
      </c>
      <c r="J789" s="1">
        <v>45353</v>
      </c>
      <c r="K789" s="3">
        <v>0.2752</v>
      </c>
      <c r="L789" s="13">
        <f t="shared" si="26"/>
        <v>12.79469098476695</v>
      </c>
      <c r="M789" s="16">
        <f t="shared" si="27"/>
        <v>15403</v>
      </c>
    </row>
    <row r="790" spans="1:13" x14ac:dyDescent="0.3">
      <c r="A790">
        <v>100788</v>
      </c>
      <c r="B790" t="s">
        <v>10</v>
      </c>
      <c r="C790" t="s">
        <v>21</v>
      </c>
      <c r="D790" t="s">
        <v>22</v>
      </c>
      <c r="E790" s="1">
        <v>45350</v>
      </c>
      <c r="F790" s="4">
        <v>10989</v>
      </c>
      <c r="G790" s="4">
        <v>392866</v>
      </c>
      <c r="H790" s="2">
        <v>2978</v>
      </c>
      <c r="I790" s="16">
        <v>26</v>
      </c>
      <c r="J790" s="1">
        <v>45376</v>
      </c>
      <c r="K790" s="3">
        <v>2.8000000000000001E-2</v>
      </c>
      <c r="L790" s="13">
        <f t="shared" si="26"/>
        <v>7.580192737472828</v>
      </c>
      <c r="M790" s="16">
        <f t="shared" si="27"/>
        <v>422.65384615384613</v>
      </c>
    </row>
    <row r="791" spans="1:13" x14ac:dyDescent="0.3">
      <c r="A791">
        <v>100789</v>
      </c>
      <c r="B791" t="s">
        <v>13</v>
      </c>
      <c r="C791" t="s">
        <v>20</v>
      </c>
      <c r="D791" t="s">
        <v>24</v>
      </c>
      <c r="E791" s="1">
        <v>45351</v>
      </c>
      <c r="F791" s="4">
        <v>13665</v>
      </c>
      <c r="G791" s="4">
        <v>996182</v>
      </c>
      <c r="H791" s="2">
        <v>1517</v>
      </c>
      <c r="I791" s="16">
        <v>18</v>
      </c>
      <c r="J791" s="1">
        <v>45369</v>
      </c>
      <c r="K791" s="3">
        <v>1.37E-2</v>
      </c>
      <c r="L791" s="13">
        <f t="shared" si="26"/>
        <v>1.5228141042500265</v>
      </c>
      <c r="M791" s="16">
        <f t="shared" si="27"/>
        <v>759.16666666666663</v>
      </c>
    </row>
    <row r="792" spans="1:13" x14ac:dyDescent="0.3">
      <c r="A792">
        <v>100790</v>
      </c>
      <c r="B792" t="s">
        <v>18</v>
      </c>
      <c r="C792" t="s">
        <v>25</v>
      </c>
      <c r="D792" t="s">
        <v>12</v>
      </c>
      <c r="E792" s="1">
        <v>45352</v>
      </c>
      <c r="F792" s="4">
        <v>27752</v>
      </c>
      <c r="G792" s="4">
        <v>155089</v>
      </c>
      <c r="H792" s="2">
        <v>2130</v>
      </c>
      <c r="I792" s="16">
        <v>12</v>
      </c>
      <c r="J792" s="1">
        <v>45364</v>
      </c>
      <c r="K792" s="3">
        <v>0.1789</v>
      </c>
      <c r="L792" s="13">
        <f t="shared" si="26"/>
        <v>13.734049481265597</v>
      </c>
      <c r="M792" s="16">
        <f t="shared" si="27"/>
        <v>2312.6666666666665</v>
      </c>
    </row>
    <row r="793" spans="1:13" x14ac:dyDescent="0.3">
      <c r="A793">
        <v>100791</v>
      </c>
      <c r="B793" t="s">
        <v>13</v>
      </c>
      <c r="C793" t="s">
        <v>16</v>
      </c>
      <c r="D793" t="s">
        <v>22</v>
      </c>
      <c r="E793" s="1">
        <v>45353</v>
      </c>
      <c r="F793" s="4">
        <v>64995</v>
      </c>
      <c r="G793" s="4">
        <v>500763</v>
      </c>
      <c r="H793" s="2">
        <v>608</v>
      </c>
      <c r="I793" s="16">
        <v>20</v>
      </c>
      <c r="J793" s="1">
        <v>45373</v>
      </c>
      <c r="K793" s="3">
        <v>0.1298</v>
      </c>
      <c r="L793" s="13">
        <f t="shared" si="26"/>
        <v>1.2141472113554717</v>
      </c>
      <c r="M793" s="16">
        <f t="shared" si="27"/>
        <v>3249.75</v>
      </c>
    </row>
    <row r="794" spans="1:13" x14ac:dyDescent="0.3">
      <c r="A794">
        <v>100792</v>
      </c>
      <c r="B794" t="s">
        <v>18</v>
      </c>
      <c r="C794" t="s">
        <v>23</v>
      </c>
      <c r="D794" t="s">
        <v>17</v>
      </c>
      <c r="E794" s="1">
        <v>45354</v>
      </c>
      <c r="F794" s="4">
        <v>39803</v>
      </c>
      <c r="G794" s="4">
        <v>544667</v>
      </c>
      <c r="H794" s="2">
        <v>4994</v>
      </c>
      <c r="I794" s="16">
        <v>21</v>
      </c>
      <c r="J794" s="1">
        <v>45375</v>
      </c>
      <c r="K794" s="3">
        <v>7.3099999999999998E-2</v>
      </c>
      <c r="L794" s="13">
        <f t="shared" si="26"/>
        <v>9.168905037389818</v>
      </c>
      <c r="M794" s="16">
        <f t="shared" si="27"/>
        <v>1895.3809523809523</v>
      </c>
    </row>
    <row r="795" spans="1:13" x14ac:dyDescent="0.3">
      <c r="A795">
        <v>100793</v>
      </c>
      <c r="B795" t="s">
        <v>18</v>
      </c>
      <c r="C795" t="s">
        <v>21</v>
      </c>
      <c r="D795" t="s">
        <v>12</v>
      </c>
      <c r="E795" s="1">
        <v>45355</v>
      </c>
      <c r="F795" s="4">
        <v>86400</v>
      </c>
      <c r="G795" s="4">
        <v>899783</v>
      </c>
      <c r="H795" s="2">
        <v>309</v>
      </c>
      <c r="I795" s="16">
        <v>9</v>
      </c>
      <c r="J795" s="1">
        <v>45364</v>
      </c>
      <c r="K795" s="3">
        <v>9.6000000000000002E-2</v>
      </c>
      <c r="L795" s="13">
        <f t="shared" si="26"/>
        <v>0.34341613477916338</v>
      </c>
      <c r="M795" s="16">
        <f t="shared" si="27"/>
        <v>9600</v>
      </c>
    </row>
    <row r="796" spans="1:13" x14ac:dyDescent="0.3">
      <c r="A796">
        <v>100794</v>
      </c>
      <c r="B796" t="s">
        <v>18</v>
      </c>
      <c r="C796" t="s">
        <v>23</v>
      </c>
      <c r="D796" t="s">
        <v>12</v>
      </c>
      <c r="E796" s="1">
        <v>45356</v>
      </c>
      <c r="F796" s="4">
        <v>85324</v>
      </c>
      <c r="G796" s="4">
        <v>655810</v>
      </c>
      <c r="H796" s="2">
        <v>1611</v>
      </c>
      <c r="I796" s="16">
        <v>27</v>
      </c>
      <c r="J796" s="1">
        <v>45383</v>
      </c>
      <c r="K796" s="3">
        <v>0.13009999999999999</v>
      </c>
      <c r="L796" s="13">
        <f t="shared" si="26"/>
        <v>2.456504170415212</v>
      </c>
      <c r="M796" s="16">
        <f t="shared" si="27"/>
        <v>3160.1481481481483</v>
      </c>
    </row>
    <row r="797" spans="1:13" x14ac:dyDescent="0.3">
      <c r="A797">
        <v>100795</v>
      </c>
      <c r="B797" t="s">
        <v>18</v>
      </c>
      <c r="C797" t="s">
        <v>16</v>
      </c>
      <c r="D797" t="s">
        <v>12</v>
      </c>
      <c r="E797" s="1">
        <v>45357</v>
      </c>
      <c r="F797" s="4">
        <v>64652</v>
      </c>
      <c r="G797" s="4">
        <v>615575</v>
      </c>
      <c r="H797" s="2">
        <v>1702</v>
      </c>
      <c r="I797" s="16">
        <v>20</v>
      </c>
      <c r="J797" s="1">
        <v>45377</v>
      </c>
      <c r="K797" s="3">
        <v>0.105</v>
      </c>
      <c r="L797" s="13">
        <f t="shared" si="26"/>
        <v>2.7648946107298058</v>
      </c>
      <c r="M797" s="16">
        <f t="shared" si="27"/>
        <v>3232.6</v>
      </c>
    </row>
    <row r="798" spans="1:13" x14ac:dyDescent="0.3">
      <c r="A798">
        <v>100796</v>
      </c>
      <c r="B798" t="s">
        <v>18</v>
      </c>
      <c r="C798" t="s">
        <v>21</v>
      </c>
      <c r="D798" t="s">
        <v>12</v>
      </c>
      <c r="E798" s="1">
        <v>45358</v>
      </c>
      <c r="F798" s="4">
        <v>43099</v>
      </c>
      <c r="G798" s="4">
        <v>278650</v>
      </c>
      <c r="H798" s="2">
        <v>4885</v>
      </c>
      <c r="I798" s="16">
        <v>19</v>
      </c>
      <c r="J798" s="1">
        <v>45377</v>
      </c>
      <c r="K798" s="3">
        <v>0.1547</v>
      </c>
      <c r="L798" s="13">
        <f t="shared" si="26"/>
        <v>17.53095280818231</v>
      </c>
      <c r="M798" s="16">
        <f t="shared" si="27"/>
        <v>2268.3684210526317</v>
      </c>
    </row>
    <row r="799" spans="1:13" x14ac:dyDescent="0.3">
      <c r="A799">
        <v>100797</v>
      </c>
      <c r="B799" t="s">
        <v>18</v>
      </c>
      <c r="C799" t="s">
        <v>16</v>
      </c>
      <c r="D799" t="s">
        <v>12</v>
      </c>
      <c r="E799" s="1">
        <v>45359</v>
      </c>
      <c r="F799" s="4">
        <v>71101</v>
      </c>
      <c r="G799" s="4">
        <v>45682</v>
      </c>
      <c r="H799" s="2">
        <v>187</v>
      </c>
      <c r="I799" s="16">
        <v>6</v>
      </c>
      <c r="J799" s="1">
        <v>45365</v>
      </c>
      <c r="K799" s="3">
        <v>1.5564</v>
      </c>
      <c r="L799" s="13">
        <f t="shared" si="26"/>
        <v>4.0935160457072808</v>
      </c>
      <c r="M799" s="16">
        <f t="shared" si="27"/>
        <v>11850.166666666666</v>
      </c>
    </row>
    <row r="800" spans="1:13" x14ac:dyDescent="0.3">
      <c r="A800">
        <v>100798</v>
      </c>
      <c r="B800" t="s">
        <v>10</v>
      </c>
      <c r="C800" t="s">
        <v>16</v>
      </c>
      <c r="D800" t="s">
        <v>17</v>
      </c>
      <c r="E800" s="1">
        <v>45360</v>
      </c>
      <c r="F800" s="4">
        <v>65235</v>
      </c>
      <c r="G800" s="4">
        <v>511101</v>
      </c>
      <c r="H800" s="2">
        <v>3431</v>
      </c>
      <c r="I800" s="16">
        <v>25</v>
      </c>
      <c r="J800" s="1">
        <v>45385</v>
      </c>
      <c r="K800" s="3">
        <v>0.12759999999999999</v>
      </c>
      <c r="L800" s="13">
        <f t="shared" si="26"/>
        <v>6.7129588867953691</v>
      </c>
      <c r="M800" s="16">
        <f t="shared" si="27"/>
        <v>2609.4</v>
      </c>
    </row>
    <row r="801" spans="1:13" x14ac:dyDescent="0.3">
      <c r="A801">
        <v>100799</v>
      </c>
      <c r="B801" t="s">
        <v>10</v>
      </c>
      <c r="C801" t="s">
        <v>14</v>
      </c>
      <c r="D801" t="s">
        <v>15</v>
      </c>
      <c r="E801" s="1">
        <v>45361</v>
      </c>
      <c r="F801" s="4">
        <v>41782</v>
      </c>
      <c r="G801" s="4">
        <v>251510</v>
      </c>
      <c r="H801" s="2">
        <v>4060</v>
      </c>
      <c r="I801" s="16">
        <v>10</v>
      </c>
      <c r="J801" s="1">
        <v>45371</v>
      </c>
      <c r="K801" s="3">
        <v>0.1661</v>
      </c>
      <c r="L801" s="13">
        <f t="shared" si="26"/>
        <v>16.142499304202616</v>
      </c>
      <c r="M801" s="16">
        <f t="shared" si="27"/>
        <v>4178.2</v>
      </c>
    </row>
    <row r="802" spans="1:13" x14ac:dyDescent="0.3">
      <c r="A802">
        <v>100800</v>
      </c>
      <c r="B802" t="s">
        <v>10</v>
      </c>
      <c r="C802" t="s">
        <v>16</v>
      </c>
      <c r="D802" t="s">
        <v>17</v>
      </c>
      <c r="E802" s="1">
        <v>45362</v>
      </c>
      <c r="F802" s="4">
        <v>91295</v>
      </c>
      <c r="G802" s="4">
        <v>177262</v>
      </c>
      <c r="H802" s="2">
        <v>3265</v>
      </c>
      <c r="I802" s="16">
        <v>14</v>
      </c>
      <c r="J802" s="1">
        <v>45376</v>
      </c>
      <c r="K802" s="3">
        <v>0.51500000000000001</v>
      </c>
      <c r="L802" s="13">
        <f t="shared" si="26"/>
        <v>18.419063307420654</v>
      </c>
      <c r="M802" s="16">
        <f t="shared" si="27"/>
        <v>6521.0714285714284</v>
      </c>
    </row>
    <row r="803" spans="1:13" x14ac:dyDescent="0.3">
      <c r="A803">
        <v>100801</v>
      </c>
      <c r="B803" t="s">
        <v>18</v>
      </c>
      <c r="C803" t="s">
        <v>14</v>
      </c>
      <c r="D803" t="s">
        <v>22</v>
      </c>
      <c r="E803" s="1">
        <v>45363</v>
      </c>
      <c r="F803" s="4">
        <v>79728</v>
      </c>
      <c r="G803" s="4">
        <v>543203</v>
      </c>
      <c r="H803" s="2">
        <v>3550</v>
      </c>
      <c r="I803" s="16">
        <v>22</v>
      </c>
      <c r="J803" s="1">
        <v>45385</v>
      </c>
      <c r="K803" s="3">
        <v>0.14680000000000001</v>
      </c>
      <c r="L803" s="13">
        <f t="shared" si="26"/>
        <v>6.5353100038107304</v>
      </c>
      <c r="M803" s="16">
        <f t="shared" si="27"/>
        <v>3624</v>
      </c>
    </row>
    <row r="804" spans="1:13" x14ac:dyDescent="0.3">
      <c r="A804">
        <v>100802</v>
      </c>
      <c r="B804" t="s">
        <v>10</v>
      </c>
      <c r="C804" t="s">
        <v>16</v>
      </c>
      <c r="D804" t="s">
        <v>15</v>
      </c>
      <c r="E804" s="1">
        <v>45364</v>
      </c>
      <c r="F804" s="4">
        <v>46177</v>
      </c>
      <c r="G804" s="4">
        <v>484137</v>
      </c>
      <c r="H804" s="2">
        <v>1387</v>
      </c>
      <c r="I804" s="16">
        <v>12</v>
      </c>
      <c r="J804" s="1">
        <v>45376</v>
      </c>
      <c r="K804" s="3">
        <v>9.5399999999999999E-2</v>
      </c>
      <c r="L804" s="13">
        <f t="shared" si="26"/>
        <v>2.8648915492928655</v>
      </c>
      <c r="M804" s="16">
        <f t="shared" si="27"/>
        <v>3848.0833333333335</v>
      </c>
    </row>
    <row r="805" spans="1:13" x14ac:dyDescent="0.3">
      <c r="A805">
        <v>100803</v>
      </c>
      <c r="B805" t="s">
        <v>13</v>
      </c>
      <c r="C805" t="s">
        <v>25</v>
      </c>
      <c r="D805" t="s">
        <v>12</v>
      </c>
      <c r="E805" s="1">
        <v>45365</v>
      </c>
      <c r="F805" s="4">
        <v>37028</v>
      </c>
      <c r="G805" s="4">
        <v>161081</v>
      </c>
      <c r="H805" s="2">
        <v>4455</v>
      </c>
      <c r="I805" s="16">
        <v>9</v>
      </c>
      <c r="J805" s="1">
        <v>45374</v>
      </c>
      <c r="K805" s="3">
        <v>0.22989999999999999</v>
      </c>
      <c r="L805" s="13">
        <f t="shared" si="26"/>
        <v>27.656893115885797</v>
      </c>
      <c r="M805" s="16">
        <f t="shared" si="27"/>
        <v>4114.2222222222226</v>
      </c>
    </row>
    <row r="806" spans="1:13" x14ac:dyDescent="0.3">
      <c r="A806">
        <v>100804</v>
      </c>
      <c r="B806" t="s">
        <v>18</v>
      </c>
      <c r="C806" t="s">
        <v>25</v>
      </c>
      <c r="D806" t="s">
        <v>22</v>
      </c>
      <c r="E806" s="1">
        <v>45366</v>
      </c>
      <c r="F806" s="4">
        <v>64572</v>
      </c>
      <c r="G806" s="4">
        <v>311730</v>
      </c>
      <c r="H806" s="2">
        <v>4762</v>
      </c>
      <c r="I806" s="16">
        <v>11</v>
      </c>
      <c r="J806" s="1">
        <v>45377</v>
      </c>
      <c r="K806" s="3">
        <v>0.20710000000000001</v>
      </c>
      <c r="L806" s="13">
        <f t="shared" si="26"/>
        <v>15.276040162961538</v>
      </c>
      <c r="M806" s="16">
        <f t="shared" si="27"/>
        <v>5870.181818181818</v>
      </c>
    </row>
    <row r="807" spans="1:13" x14ac:dyDescent="0.3">
      <c r="A807">
        <v>100805</v>
      </c>
      <c r="B807" t="s">
        <v>18</v>
      </c>
      <c r="C807" t="s">
        <v>20</v>
      </c>
      <c r="D807" t="s">
        <v>12</v>
      </c>
      <c r="E807" s="1">
        <v>45367</v>
      </c>
      <c r="F807" s="4">
        <v>834</v>
      </c>
      <c r="G807" s="4">
        <v>928019</v>
      </c>
      <c r="H807" s="2">
        <v>616</v>
      </c>
      <c r="I807" s="16">
        <v>15</v>
      </c>
      <c r="J807" s="1">
        <v>45382</v>
      </c>
      <c r="K807" s="3">
        <v>8.9999999999999998E-4</v>
      </c>
      <c r="L807" s="13">
        <f t="shared" si="26"/>
        <v>0.66377951313496819</v>
      </c>
      <c r="M807" s="16">
        <f t="shared" si="27"/>
        <v>55.6</v>
      </c>
    </row>
    <row r="808" spans="1:13" x14ac:dyDescent="0.3">
      <c r="A808">
        <v>100806</v>
      </c>
      <c r="B808" t="s">
        <v>13</v>
      </c>
      <c r="C808" t="s">
        <v>16</v>
      </c>
      <c r="D808" t="s">
        <v>24</v>
      </c>
      <c r="E808" s="1">
        <v>45368</v>
      </c>
      <c r="F808" s="4">
        <v>65948</v>
      </c>
      <c r="G808" s="4">
        <v>693820</v>
      </c>
      <c r="H808" s="2">
        <v>3895</v>
      </c>
      <c r="I808" s="16">
        <v>13</v>
      </c>
      <c r="J808" s="1">
        <v>45381</v>
      </c>
      <c r="K808" s="3">
        <v>9.5100000000000004E-2</v>
      </c>
      <c r="L808" s="13">
        <f t="shared" si="26"/>
        <v>5.6138479720965089</v>
      </c>
      <c r="M808" s="16">
        <f t="shared" si="27"/>
        <v>5072.9230769230771</v>
      </c>
    </row>
    <row r="809" spans="1:13" x14ac:dyDescent="0.3">
      <c r="A809">
        <v>100807</v>
      </c>
      <c r="B809" t="s">
        <v>18</v>
      </c>
      <c r="C809" t="s">
        <v>11</v>
      </c>
      <c r="D809" t="s">
        <v>12</v>
      </c>
      <c r="E809" s="1">
        <v>45369</v>
      </c>
      <c r="F809" s="4">
        <v>10000</v>
      </c>
      <c r="G809" s="4">
        <v>701479</v>
      </c>
      <c r="H809" s="2">
        <v>3593</v>
      </c>
      <c r="I809" s="16">
        <v>23</v>
      </c>
      <c r="J809" s="1">
        <v>45392</v>
      </c>
      <c r="K809" s="3">
        <v>1.43E-2</v>
      </c>
      <c r="L809" s="13">
        <f t="shared" si="26"/>
        <v>5.1220350145906011</v>
      </c>
      <c r="M809" s="16">
        <f t="shared" si="27"/>
        <v>434.78260869565219</v>
      </c>
    </row>
    <row r="810" spans="1:13" x14ac:dyDescent="0.3">
      <c r="A810">
        <v>100808</v>
      </c>
      <c r="B810" t="s">
        <v>13</v>
      </c>
      <c r="C810" t="s">
        <v>11</v>
      </c>
      <c r="D810" t="s">
        <v>12</v>
      </c>
      <c r="E810" s="1">
        <v>45370</v>
      </c>
      <c r="F810" s="4">
        <v>66414</v>
      </c>
      <c r="G810" s="4">
        <v>551161</v>
      </c>
      <c r="H810" s="2">
        <v>131</v>
      </c>
      <c r="I810" s="16">
        <v>12</v>
      </c>
      <c r="J810" s="1">
        <v>45382</v>
      </c>
      <c r="K810" s="3">
        <v>0.1205</v>
      </c>
      <c r="L810" s="13">
        <f t="shared" si="26"/>
        <v>0.23768009710411295</v>
      </c>
      <c r="M810" s="16">
        <f t="shared" si="27"/>
        <v>5534.5</v>
      </c>
    </row>
    <row r="811" spans="1:13" x14ac:dyDescent="0.3">
      <c r="A811">
        <v>100809</v>
      </c>
      <c r="B811" t="s">
        <v>19</v>
      </c>
      <c r="C811" t="s">
        <v>11</v>
      </c>
      <c r="D811" t="s">
        <v>22</v>
      </c>
      <c r="E811" s="1">
        <v>45371</v>
      </c>
      <c r="F811" s="4">
        <v>22952</v>
      </c>
      <c r="G811" s="4">
        <v>291914</v>
      </c>
      <c r="H811" s="2">
        <v>3725</v>
      </c>
      <c r="I811" s="16">
        <v>26</v>
      </c>
      <c r="J811" s="1">
        <v>45397</v>
      </c>
      <c r="K811" s="3">
        <v>7.8600000000000003E-2</v>
      </c>
      <c r="L811" s="13">
        <f t="shared" si="26"/>
        <v>12.760607576203951</v>
      </c>
      <c r="M811" s="16">
        <f t="shared" si="27"/>
        <v>882.76923076923072</v>
      </c>
    </row>
    <row r="812" spans="1:13" x14ac:dyDescent="0.3">
      <c r="A812">
        <v>100810</v>
      </c>
      <c r="B812" t="s">
        <v>18</v>
      </c>
      <c r="C812" t="s">
        <v>20</v>
      </c>
      <c r="D812" t="s">
        <v>15</v>
      </c>
      <c r="E812" s="1">
        <v>45372</v>
      </c>
      <c r="F812" s="4">
        <v>77808</v>
      </c>
      <c r="G812" s="4">
        <v>60343</v>
      </c>
      <c r="H812" s="2">
        <v>988</v>
      </c>
      <c r="I812" s="16">
        <v>12</v>
      </c>
      <c r="J812" s="1">
        <v>45384</v>
      </c>
      <c r="K812" s="3">
        <v>1.2894000000000001</v>
      </c>
      <c r="L812" s="13">
        <f t="shared" si="26"/>
        <v>16.373067298609616</v>
      </c>
      <c r="M812" s="16">
        <f t="shared" si="27"/>
        <v>6484</v>
      </c>
    </row>
    <row r="813" spans="1:13" x14ac:dyDescent="0.3">
      <c r="A813">
        <v>100811</v>
      </c>
      <c r="B813" t="s">
        <v>18</v>
      </c>
      <c r="C813" t="s">
        <v>25</v>
      </c>
      <c r="D813" t="s">
        <v>12</v>
      </c>
      <c r="E813" s="1">
        <v>45373</v>
      </c>
      <c r="F813" s="4">
        <v>14172</v>
      </c>
      <c r="G813" s="4">
        <v>301490</v>
      </c>
      <c r="H813" s="2">
        <v>2350</v>
      </c>
      <c r="I813" s="16">
        <v>17</v>
      </c>
      <c r="J813" s="1">
        <v>45390</v>
      </c>
      <c r="K813" s="3">
        <v>4.7E-2</v>
      </c>
      <c r="L813" s="13">
        <f t="shared" si="26"/>
        <v>7.7946200537331247</v>
      </c>
      <c r="M813" s="16">
        <f t="shared" si="27"/>
        <v>833.64705882352939</v>
      </c>
    </row>
    <row r="814" spans="1:13" x14ac:dyDescent="0.3">
      <c r="A814">
        <v>100812</v>
      </c>
      <c r="B814" t="s">
        <v>19</v>
      </c>
      <c r="C814" t="s">
        <v>21</v>
      </c>
      <c r="D814" t="s">
        <v>15</v>
      </c>
      <c r="E814" s="1">
        <v>45374</v>
      </c>
      <c r="F814" s="4">
        <v>51369</v>
      </c>
      <c r="G814" s="4">
        <v>188171</v>
      </c>
      <c r="H814" s="2">
        <v>4839</v>
      </c>
      <c r="I814" s="16">
        <v>15</v>
      </c>
      <c r="J814" s="1">
        <v>45389</v>
      </c>
      <c r="K814" s="3">
        <v>0.27300000000000002</v>
      </c>
      <c r="L814" s="13">
        <f t="shared" si="26"/>
        <v>25.715971111382729</v>
      </c>
      <c r="M814" s="16">
        <f t="shared" si="27"/>
        <v>3424.6</v>
      </c>
    </row>
    <row r="815" spans="1:13" x14ac:dyDescent="0.3">
      <c r="A815">
        <v>100813</v>
      </c>
      <c r="B815" t="s">
        <v>13</v>
      </c>
      <c r="C815" t="s">
        <v>25</v>
      </c>
      <c r="D815" t="s">
        <v>15</v>
      </c>
      <c r="E815" s="1">
        <v>45375</v>
      </c>
      <c r="F815" s="4">
        <v>49764</v>
      </c>
      <c r="G815" s="4">
        <v>65430</v>
      </c>
      <c r="H815" s="2">
        <v>1168</v>
      </c>
      <c r="I815" s="16">
        <v>11</v>
      </c>
      <c r="J815" s="1">
        <v>45386</v>
      </c>
      <c r="K815" s="3">
        <v>0.76060000000000005</v>
      </c>
      <c r="L815" s="13">
        <f t="shared" si="26"/>
        <v>17.851138621427481</v>
      </c>
      <c r="M815" s="16">
        <f t="shared" si="27"/>
        <v>4524</v>
      </c>
    </row>
    <row r="816" spans="1:13" x14ac:dyDescent="0.3">
      <c r="A816">
        <v>100814</v>
      </c>
      <c r="B816" t="s">
        <v>18</v>
      </c>
      <c r="C816" t="s">
        <v>21</v>
      </c>
      <c r="D816" t="s">
        <v>15</v>
      </c>
      <c r="E816" s="1">
        <v>45376</v>
      </c>
      <c r="F816" s="4">
        <v>70802</v>
      </c>
      <c r="G816" s="4">
        <v>571764</v>
      </c>
      <c r="H816" s="2">
        <v>2190</v>
      </c>
      <c r="I816" s="16">
        <v>16</v>
      </c>
      <c r="J816" s="1">
        <v>45392</v>
      </c>
      <c r="K816" s="3">
        <v>0.12379999999999999</v>
      </c>
      <c r="L816" s="13">
        <f t="shared" si="26"/>
        <v>3.8302516422859783</v>
      </c>
      <c r="M816" s="16">
        <f t="shared" si="27"/>
        <v>4425.125</v>
      </c>
    </row>
    <row r="817" spans="1:13" x14ac:dyDescent="0.3">
      <c r="A817">
        <v>100815</v>
      </c>
      <c r="B817" t="s">
        <v>10</v>
      </c>
      <c r="C817" t="s">
        <v>21</v>
      </c>
      <c r="D817" t="s">
        <v>12</v>
      </c>
      <c r="E817" s="1">
        <v>45377</v>
      </c>
      <c r="F817" s="4">
        <v>74936</v>
      </c>
      <c r="G817" s="4">
        <v>821818</v>
      </c>
      <c r="H817" s="2">
        <v>1691</v>
      </c>
      <c r="I817" s="16">
        <v>5</v>
      </c>
      <c r="J817" s="1">
        <v>45382</v>
      </c>
      <c r="K817" s="3">
        <v>9.1200000000000003E-2</v>
      </c>
      <c r="L817" s="13">
        <f t="shared" si="26"/>
        <v>2.0576331985914154</v>
      </c>
      <c r="M817" s="16">
        <f t="shared" si="27"/>
        <v>14987.2</v>
      </c>
    </row>
    <row r="818" spans="1:13" x14ac:dyDescent="0.3">
      <c r="A818">
        <v>100816</v>
      </c>
      <c r="B818" t="s">
        <v>10</v>
      </c>
      <c r="C818" t="s">
        <v>21</v>
      </c>
      <c r="D818" t="s">
        <v>24</v>
      </c>
      <c r="E818" s="1">
        <v>45378</v>
      </c>
      <c r="F818" s="4">
        <v>89462</v>
      </c>
      <c r="G818" s="4">
        <v>738535</v>
      </c>
      <c r="H818" s="2">
        <v>3642</v>
      </c>
      <c r="I818" s="16">
        <v>27</v>
      </c>
      <c r="J818" s="1">
        <v>45405</v>
      </c>
      <c r="K818" s="3">
        <v>0.1211</v>
      </c>
      <c r="L818" s="13">
        <f t="shared" si="26"/>
        <v>4.9313844299863918</v>
      </c>
      <c r="M818" s="16">
        <f t="shared" si="27"/>
        <v>3313.4074074074074</v>
      </c>
    </row>
    <row r="819" spans="1:13" x14ac:dyDescent="0.3">
      <c r="A819">
        <v>100817</v>
      </c>
      <c r="B819" t="s">
        <v>13</v>
      </c>
      <c r="C819" t="s">
        <v>16</v>
      </c>
      <c r="D819" t="s">
        <v>12</v>
      </c>
      <c r="E819" s="1">
        <v>45379</v>
      </c>
      <c r="F819" s="4">
        <v>47325</v>
      </c>
      <c r="G819" s="4">
        <v>360447</v>
      </c>
      <c r="H819" s="2">
        <v>1375</v>
      </c>
      <c r="I819" s="16">
        <v>18</v>
      </c>
      <c r="J819" s="1">
        <v>45397</v>
      </c>
      <c r="K819" s="3">
        <v>0.1313</v>
      </c>
      <c r="L819" s="13">
        <f t="shared" si="26"/>
        <v>3.8147078488654365</v>
      </c>
      <c r="M819" s="16">
        <f t="shared" si="27"/>
        <v>2629.1666666666665</v>
      </c>
    </row>
    <row r="820" spans="1:13" x14ac:dyDescent="0.3">
      <c r="A820">
        <v>100818</v>
      </c>
      <c r="B820" t="s">
        <v>13</v>
      </c>
      <c r="C820" t="s">
        <v>21</v>
      </c>
      <c r="D820" t="s">
        <v>17</v>
      </c>
      <c r="E820" s="1">
        <v>45380</v>
      </c>
      <c r="F820" s="4">
        <v>76914</v>
      </c>
      <c r="G820" s="4">
        <v>423270</v>
      </c>
      <c r="H820" s="2">
        <v>3145</v>
      </c>
      <c r="I820" s="16">
        <v>9</v>
      </c>
      <c r="J820" s="1">
        <v>45389</v>
      </c>
      <c r="K820" s="3">
        <v>0.1817</v>
      </c>
      <c r="L820" s="13">
        <f t="shared" si="26"/>
        <v>7.430245469794694</v>
      </c>
      <c r="M820" s="16">
        <f t="shared" si="27"/>
        <v>8546</v>
      </c>
    </row>
    <row r="821" spans="1:13" x14ac:dyDescent="0.3">
      <c r="A821">
        <v>100819</v>
      </c>
      <c r="B821" t="s">
        <v>18</v>
      </c>
      <c r="C821" t="s">
        <v>20</v>
      </c>
      <c r="D821" t="s">
        <v>15</v>
      </c>
      <c r="E821" s="1">
        <v>45381</v>
      </c>
      <c r="F821" s="4">
        <v>74406</v>
      </c>
      <c r="G821" s="4">
        <v>105663</v>
      </c>
      <c r="H821" s="2">
        <v>2685</v>
      </c>
      <c r="I821" s="16">
        <v>4</v>
      </c>
      <c r="J821" s="1">
        <v>45385</v>
      </c>
      <c r="K821" s="3">
        <v>0.70420000000000005</v>
      </c>
      <c r="L821" s="13">
        <f t="shared" si="26"/>
        <v>25.410976406121346</v>
      </c>
      <c r="M821" s="16">
        <f t="shared" si="27"/>
        <v>18601.5</v>
      </c>
    </row>
    <row r="822" spans="1:13" x14ac:dyDescent="0.3">
      <c r="A822">
        <v>100820</v>
      </c>
      <c r="B822" t="s">
        <v>18</v>
      </c>
      <c r="C822" t="s">
        <v>14</v>
      </c>
      <c r="D822" t="s">
        <v>24</v>
      </c>
      <c r="E822" s="1">
        <v>45382</v>
      </c>
      <c r="F822" s="4">
        <v>27797</v>
      </c>
      <c r="G822" s="4">
        <v>554694</v>
      </c>
      <c r="H822" s="2">
        <v>889</v>
      </c>
      <c r="I822" s="16">
        <v>23</v>
      </c>
      <c r="J822" s="1">
        <v>45405</v>
      </c>
      <c r="K822" s="3">
        <v>5.0099999999999999E-2</v>
      </c>
      <c r="L822" s="13">
        <f t="shared" si="26"/>
        <v>1.6026854445874661</v>
      </c>
      <c r="M822" s="16">
        <f t="shared" si="27"/>
        <v>1208.5652173913043</v>
      </c>
    </row>
    <row r="823" spans="1:13" x14ac:dyDescent="0.3">
      <c r="A823">
        <v>100821</v>
      </c>
      <c r="B823" t="s">
        <v>13</v>
      </c>
      <c r="C823" t="s">
        <v>21</v>
      </c>
      <c r="D823" t="s">
        <v>24</v>
      </c>
      <c r="E823" s="1">
        <v>45383</v>
      </c>
      <c r="F823" s="4">
        <v>52024</v>
      </c>
      <c r="G823" s="4">
        <v>276138</v>
      </c>
      <c r="H823" s="2">
        <v>4470</v>
      </c>
      <c r="I823" s="16">
        <v>27</v>
      </c>
      <c r="J823" s="1">
        <v>45410</v>
      </c>
      <c r="K823" s="3">
        <v>0.18840000000000001</v>
      </c>
      <c r="L823" s="13">
        <f t="shared" si="26"/>
        <v>16.187558394715683</v>
      </c>
      <c r="M823" s="16">
        <f t="shared" si="27"/>
        <v>1926.8148148148148</v>
      </c>
    </row>
    <row r="824" spans="1:13" x14ac:dyDescent="0.3">
      <c r="A824">
        <v>100822</v>
      </c>
      <c r="B824" t="s">
        <v>18</v>
      </c>
      <c r="C824" t="s">
        <v>14</v>
      </c>
      <c r="D824" t="s">
        <v>24</v>
      </c>
      <c r="E824" s="1">
        <v>45384</v>
      </c>
      <c r="F824" s="4">
        <v>85717</v>
      </c>
      <c r="G824" s="4">
        <v>768745</v>
      </c>
      <c r="H824" s="2">
        <v>3601</v>
      </c>
      <c r="I824" s="16">
        <v>28</v>
      </c>
      <c r="J824" s="1">
        <v>45412</v>
      </c>
      <c r="K824" s="3">
        <v>0.1115</v>
      </c>
      <c r="L824" s="13">
        <f t="shared" si="26"/>
        <v>4.6842581089958308</v>
      </c>
      <c r="M824" s="16">
        <f t="shared" si="27"/>
        <v>3061.3214285714284</v>
      </c>
    </row>
    <row r="825" spans="1:13" x14ac:dyDescent="0.3">
      <c r="A825">
        <v>100823</v>
      </c>
      <c r="B825" t="s">
        <v>13</v>
      </c>
      <c r="C825" t="s">
        <v>21</v>
      </c>
      <c r="D825" t="s">
        <v>15</v>
      </c>
      <c r="E825" s="1">
        <v>45385</v>
      </c>
      <c r="F825" s="4">
        <v>64750</v>
      </c>
      <c r="G825" s="4">
        <v>317158</v>
      </c>
      <c r="H825" s="2">
        <v>970</v>
      </c>
      <c r="I825" s="16">
        <v>26</v>
      </c>
      <c r="J825" s="1">
        <v>45411</v>
      </c>
      <c r="K825" s="3">
        <v>0.20419999999999999</v>
      </c>
      <c r="L825" s="13">
        <f t="shared" si="26"/>
        <v>3.0584125262487469</v>
      </c>
      <c r="M825" s="16">
        <f t="shared" si="27"/>
        <v>2490.3846153846152</v>
      </c>
    </row>
    <row r="826" spans="1:13" x14ac:dyDescent="0.3">
      <c r="A826">
        <v>100824</v>
      </c>
      <c r="B826" t="s">
        <v>10</v>
      </c>
      <c r="C826" t="s">
        <v>23</v>
      </c>
      <c r="D826" t="s">
        <v>15</v>
      </c>
      <c r="E826" s="1">
        <v>45386</v>
      </c>
      <c r="F826" s="4">
        <v>99769</v>
      </c>
      <c r="G826" s="4">
        <v>288311</v>
      </c>
      <c r="H826" s="2">
        <v>434</v>
      </c>
      <c r="I826" s="16">
        <v>22</v>
      </c>
      <c r="J826" s="1">
        <v>45408</v>
      </c>
      <c r="K826" s="3">
        <v>0.34599999999999997</v>
      </c>
      <c r="L826" s="13">
        <f t="shared" si="26"/>
        <v>1.5053189090946928</v>
      </c>
      <c r="M826" s="16">
        <f t="shared" si="27"/>
        <v>4534.954545454545</v>
      </c>
    </row>
    <row r="827" spans="1:13" x14ac:dyDescent="0.3">
      <c r="A827">
        <v>100825</v>
      </c>
      <c r="B827" t="s">
        <v>18</v>
      </c>
      <c r="C827" t="s">
        <v>25</v>
      </c>
      <c r="D827" t="s">
        <v>17</v>
      </c>
      <c r="E827" s="1">
        <v>45387</v>
      </c>
      <c r="F827" s="4">
        <v>59744</v>
      </c>
      <c r="G827" s="4">
        <v>725202</v>
      </c>
      <c r="H827" s="2">
        <v>4755</v>
      </c>
      <c r="I827" s="16">
        <v>15</v>
      </c>
      <c r="J827" s="1">
        <v>45402</v>
      </c>
      <c r="K827" s="3">
        <v>8.2400000000000001E-2</v>
      </c>
      <c r="L827" s="13">
        <f t="shared" si="26"/>
        <v>6.5567938312359866</v>
      </c>
      <c r="M827" s="16">
        <f t="shared" si="27"/>
        <v>3982.9333333333334</v>
      </c>
    </row>
    <row r="828" spans="1:13" x14ac:dyDescent="0.3">
      <c r="A828">
        <v>100826</v>
      </c>
      <c r="B828" t="s">
        <v>13</v>
      </c>
      <c r="C828" t="s">
        <v>11</v>
      </c>
      <c r="D828" t="s">
        <v>22</v>
      </c>
      <c r="E828" s="1">
        <v>45388</v>
      </c>
      <c r="F828" s="4">
        <v>59983</v>
      </c>
      <c r="G828" s="4">
        <v>216773</v>
      </c>
      <c r="H828" s="2">
        <v>4403</v>
      </c>
      <c r="I828" s="16">
        <v>24</v>
      </c>
      <c r="J828" s="1">
        <v>45412</v>
      </c>
      <c r="K828" s="3">
        <v>0.2767</v>
      </c>
      <c r="L828" s="13">
        <f t="shared" si="26"/>
        <v>20.311570167871462</v>
      </c>
      <c r="M828" s="16">
        <f t="shared" si="27"/>
        <v>2499.2916666666665</v>
      </c>
    </row>
    <row r="829" spans="1:13" x14ac:dyDescent="0.3">
      <c r="A829">
        <v>100827</v>
      </c>
      <c r="B829" t="s">
        <v>18</v>
      </c>
      <c r="C829" t="s">
        <v>23</v>
      </c>
      <c r="D829" t="s">
        <v>24</v>
      </c>
      <c r="E829" s="1">
        <v>45389</v>
      </c>
      <c r="F829" s="4">
        <v>64483</v>
      </c>
      <c r="G829" s="4">
        <v>991943</v>
      </c>
      <c r="H829" s="2">
        <v>734</v>
      </c>
      <c r="I829" s="16">
        <v>16</v>
      </c>
      <c r="J829" s="1">
        <v>45405</v>
      </c>
      <c r="K829" s="3">
        <v>6.5000000000000002E-2</v>
      </c>
      <c r="L829" s="13">
        <f t="shared" si="26"/>
        <v>0.73996187280922388</v>
      </c>
      <c r="M829" s="16">
        <f t="shared" si="27"/>
        <v>4030.1875</v>
      </c>
    </row>
    <row r="830" spans="1:13" x14ac:dyDescent="0.3">
      <c r="A830">
        <v>100828</v>
      </c>
      <c r="B830" t="s">
        <v>10</v>
      </c>
      <c r="C830" t="s">
        <v>11</v>
      </c>
      <c r="D830" t="s">
        <v>15</v>
      </c>
      <c r="E830" s="1">
        <v>45390</v>
      </c>
      <c r="F830" s="4">
        <v>24593</v>
      </c>
      <c r="G830" s="4">
        <v>149819</v>
      </c>
      <c r="H830" s="2">
        <v>2700</v>
      </c>
      <c r="I830" s="16">
        <v>5</v>
      </c>
      <c r="J830" s="1">
        <v>45395</v>
      </c>
      <c r="K830" s="3">
        <v>0.16420000000000001</v>
      </c>
      <c r="L830" s="13">
        <f t="shared" si="26"/>
        <v>18.021746240463489</v>
      </c>
      <c r="M830" s="16">
        <f t="shared" si="27"/>
        <v>4918.6000000000004</v>
      </c>
    </row>
    <row r="831" spans="1:13" x14ac:dyDescent="0.3">
      <c r="A831">
        <v>100829</v>
      </c>
      <c r="B831" t="s">
        <v>18</v>
      </c>
      <c r="C831" t="s">
        <v>14</v>
      </c>
      <c r="D831" t="s">
        <v>22</v>
      </c>
      <c r="E831" s="1">
        <v>45391</v>
      </c>
      <c r="F831" s="4">
        <v>13598</v>
      </c>
      <c r="G831" s="4">
        <v>323768</v>
      </c>
      <c r="H831" s="2">
        <v>449</v>
      </c>
      <c r="I831" s="16">
        <v>26</v>
      </c>
      <c r="J831" s="1">
        <v>45417</v>
      </c>
      <c r="K831" s="3">
        <v>4.2000000000000003E-2</v>
      </c>
      <c r="L831" s="13">
        <f t="shared" si="26"/>
        <v>1.386795483185491</v>
      </c>
      <c r="M831" s="16">
        <f t="shared" si="27"/>
        <v>523</v>
      </c>
    </row>
    <row r="832" spans="1:13" x14ac:dyDescent="0.3">
      <c r="A832">
        <v>100830</v>
      </c>
      <c r="B832" t="s">
        <v>13</v>
      </c>
      <c r="C832" t="s">
        <v>11</v>
      </c>
      <c r="D832" t="s">
        <v>24</v>
      </c>
      <c r="E832" s="1">
        <v>45392</v>
      </c>
      <c r="F832" s="4">
        <v>27351</v>
      </c>
      <c r="G832" s="4">
        <v>75723</v>
      </c>
      <c r="H832" s="2">
        <v>1049</v>
      </c>
      <c r="I832" s="16">
        <v>14</v>
      </c>
      <c r="J832" s="1">
        <v>45406</v>
      </c>
      <c r="K832" s="3">
        <v>0.36120000000000002</v>
      </c>
      <c r="L832" s="13">
        <f t="shared" si="26"/>
        <v>13.85312256513873</v>
      </c>
      <c r="M832" s="16">
        <f t="shared" si="27"/>
        <v>1953.6428571428571</v>
      </c>
    </row>
    <row r="833" spans="1:13" x14ac:dyDescent="0.3">
      <c r="A833">
        <v>100831</v>
      </c>
      <c r="B833" t="s">
        <v>13</v>
      </c>
      <c r="C833" t="s">
        <v>11</v>
      </c>
      <c r="D833" t="s">
        <v>24</v>
      </c>
      <c r="E833" s="1">
        <v>45393</v>
      </c>
      <c r="F833" s="4">
        <v>39219</v>
      </c>
      <c r="G833" s="4">
        <v>504112</v>
      </c>
      <c r="H833" s="2">
        <v>2429</v>
      </c>
      <c r="I833" s="16">
        <v>25</v>
      </c>
      <c r="J833" s="1">
        <v>45418</v>
      </c>
      <c r="K833" s="3">
        <v>7.7799999999999994E-2</v>
      </c>
      <c r="L833" s="13">
        <f t="shared" si="26"/>
        <v>4.8183736947345031</v>
      </c>
      <c r="M833" s="16">
        <f t="shared" si="27"/>
        <v>1568.76</v>
      </c>
    </row>
    <row r="834" spans="1:13" x14ac:dyDescent="0.3">
      <c r="A834">
        <v>100832</v>
      </c>
      <c r="B834" t="s">
        <v>18</v>
      </c>
      <c r="C834" t="s">
        <v>21</v>
      </c>
      <c r="D834" t="s">
        <v>24</v>
      </c>
      <c r="E834" s="1">
        <v>45394</v>
      </c>
      <c r="F834" s="4">
        <v>57382</v>
      </c>
      <c r="G834" s="4">
        <v>560252</v>
      </c>
      <c r="H834" s="2">
        <v>3894</v>
      </c>
      <c r="I834" s="16">
        <v>18</v>
      </c>
      <c r="J834" s="1">
        <v>45412</v>
      </c>
      <c r="K834" s="3">
        <v>0.1024</v>
      </c>
      <c r="L834" s="13">
        <f t="shared" ref="L834:L897" si="29">H834/G834*1000</f>
        <v>6.9504437288934264</v>
      </c>
      <c r="M834" s="16">
        <f t="shared" ref="M834:M897" si="30">IFERROR(F834/I834,"No Data")</f>
        <v>3187.8888888888887</v>
      </c>
    </row>
    <row r="835" spans="1:13" x14ac:dyDescent="0.3">
      <c r="A835">
        <v>100833</v>
      </c>
      <c r="B835" t="s">
        <v>13</v>
      </c>
      <c r="C835" t="s">
        <v>20</v>
      </c>
      <c r="D835" t="s">
        <v>24</v>
      </c>
      <c r="E835" s="1">
        <v>45395</v>
      </c>
      <c r="F835" s="4">
        <v>2546</v>
      </c>
      <c r="G835" s="4">
        <v>1082</v>
      </c>
      <c r="H835" s="2">
        <v>1231</v>
      </c>
      <c r="I835" s="16">
        <v>21</v>
      </c>
      <c r="J835" s="1">
        <v>45416</v>
      </c>
      <c r="K835" s="3">
        <v>2.3530000000000002</v>
      </c>
      <c r="L835" s="13">
        <f t="shared" si="29"/>
        <v>1137.7079482439926</v>
      </c>
      <c r="M835" s="16">
        <f t="shared" si="30"/>
        <v>121.23809523809524</v>
      </c>
    </row>
    <row r="836" spans="1:13" x14ac:dyDescent="0.3">
      <c r="A836">
        <v>100834</v>
      </c>
      <c r="B836" t="s">
        <v>10</v>
      </c>
      <c r="C836" t="s">
        <v>20</v>
      </c>
      <c r="D836" t="s">
        <v>15</v>
      </c>
      <c r="E836" s="1">
        <v>45396</v>
      </c>
      <c r="F836" s="4">
        <v>35429</v>
      </c>
      <c r="G836" s="4">
        <v>212345</v>
      </c>
      <c r="H836" s="2">
        <v>582</v>
      </c>
      <c r="I836" s="16">
        <v>18</v>
      </c>
      <c r="J836" s="1">
        <v>45414</v>
      </c>
      <c r="K836" s="3">
        <v>0.1668</v>
      </c>
      <c r="L836" s="13">
        <f t="shared" si="29"/>
        <v>2.7408227177470628</v>
      </c>
      <c r="M836" s="16">
        <f t="shared" si="30"/>
        <v>1968.2777777777778</v>
      </c>
    </row>
    <row r="837" spans="1:13" x14ac:dyDescent="0.3">
      <c r="A837">
        <v>100835</v>
      </c>
      <c r="B837" t="s">
        <v>13</v>
      </c>
      <c r="C837" t="s">
        <v>23</v>
      </c>
      <c r="D837" t="s">
        <v>15</v>
      </c>
      <c r="E837" s="1">
        <v>45397</v>
      </c>
      <c r="F837" s="4">
        <v>32742</v>
      </c>
      <c r="G837" s="4">
        <v>767401</v>
      </c>
      <c r="H837" s="2">
        <v>3315</v>
      </c>
      <c r="I837" s="16">
        <v>21</v>
      </c>
      <c r="J837" s="1">
        <v>45418</v>
      </c>
      <c r="K837" s="3">
        <v>4.2700000000000002E-2</v>
      </c>
      <c r="L837" s="13">
        <f t="shared" si="29"/>
        <v>4.319775449862588</v>
      </c>
      <c r="M837" s="16">
        <f t="shared" si="30"/>
        <v>1559.1428571428571</v>
      </c>
    </row>
    <row r="838" spans="1:13" x14ac:dyDescent="0.3">
      <c r="A838">
        <v>100836</v>
      </c>
      <c r="B838" t="s">
        <v>10</v>
      </c>
      <c r="C838" t="s">
        <v>21</v>
      </c>
      <c r="D838" t="s">
        <v>17</v>
      </c>
      <c r="E838" s="1">
        <v>45398</v>
      </c>
      <c r="F838" s="4">
        <v>68044</v>
      </c>
      <c r="G838" s="4">
        <v>705225</v>
      </c>
      <c r="H838" s="2">
        <v>3279</v>
      </c>
      <c r="I838" s="16">
        <v>27</v>
      </c>
      <c r="J838" s="1">
        <v>45425</v>
      </c>
      <c r="K838" s="3">
        <v>9.6500000000000002E-2</v>
      </c>
      <c r="L838" s="13">
        <f t="shared" si="29"/>
        <v>4.6495799213017124</v>
      </c>
      <c r="M838" s="16">
        <f t="shared" si="30"/>
        <v>2520.1481481481483</v>
      </c>
    </row>
    <row r="839" spans="1:13" x14ac:dyDescent="0.3">
      <c r="A839">
        <v>100837</v>
      </c>
      <c r="B839" t="s">
        <v>19</v>
      </c>
      <c r="C839" t="s">
        <v>11</v>
      </c>
      <c r="D839" t="s">
        <v>15</v>
      </c>
      <c r="E839" s="1">
        <v>45399</v>
      </c>
      <c r="F839" s="4">
        <v>14073</v>
      </c>
      <c r="G839" s="4">
        <v>815253</v>
      </c>
      <c r="H839" s="2">
        <v>4428</v>
      </c>
      <c r="I839" s="16">
        <v>2</v>
      </c>
      <c r="J839" s="1">
        <v>45401</v>
      </c>
      <c r="K839" s="3">
        <v>1.7299999999999999E-2</v>
      </c>
      <c r="L839" s="13">
        <f t="shared" si="29"/>
        <v>5.4314427545804795</v>
      </c>
      <c r="M839" s="16">
        <f t="shared" si="30"/>
        <v>7036.5</v>
      </c>
    </row>
    <row r="840" spans="1:13" x14ac:dyDescent="0.3">
      <c r="A840">
        <v>100838</v>
      </c>
      <c r="B840" t="s">
        <v>13</v>
      </c>
      <c r="C840" t="s">
        <v>14</v>
      </c>
      <c r="D840" t="s">
        <v>12</v>
      </c>
      <c r="E840" s="1">
        <v>45400</v>
      </c>
      <c r="F840" s="4">
        <v>77020</v>
      </c>
      <c r="G840" s="4">
        <v>242841</v>
      </c>
      <c r="H840" s="2">
        <v>1584</v>
      </c>
      <c r="I840" s="16">
        <v>13</v>
      </c>
      <c r="J840" s="1">
        <v>45413</v>
      </c>
      <c r="K840" s="3">
        <v>0.31719999999999998</v>
      </c>
      <c r="L840" s="13">
        <f t="shared" si="29"/>
        <v>6.5227865146330313</v>
      </c>
      <c r="M840" s="16">
        <f t="shared" si="30"/>
        <v>5924.6153846153848</v>
      </c>
    </row>
    <row r="841" spans="1:13" x14ac:dyDescent="0.3">
      <c r="A841">
        <v>100839</v>
      </c>
      <c r="B841" t="s">
        <v>13</v>
      </c>
      <c r="C841" t="s">
        <v>20</v>
      </c>
      <c r="D841" t="s">
        <v>15</v>
      </c>
      <c r="E841" s="1">
        <v>45401</v>
      </c>
      <c r="F841" s="4">
        <v>81406</v>
      </c>
      <c r="G841" s="4">
        <v>278740</v>
      </c>
      <c r="H841" s="2">
        <v>710</v>
      </c>
      <c r="I841" s="16">
        <v>14</v>
      </c>
      <c r="J841" s="1">
        <v>45415</v>
      </c>
      <c r="K841" s="3">
        <v>0.29199999999999998</v>
      </c>
      <c r="L841" s="13">
        <f t="shared" si="29"/>
        <v>2.5471765803257513</v>
      </c>
      <c r="M841" s="16">
        <f t="shared" si="30"/>
        <v>5814.7142857142853</v>
      </c>
    </row>
    <row r="842" spans="1:13" x14ac:dyDescent="0.3">
      <c r="A842">
        <v>100840</v>
      </c>
      <c r="B842" t="s">
        <v>18</v>
      </c>
      <c r="C842" t="s">
        <v>20</v>
      </c>
      <c r="D842" t="s">
        <v>15</v>
      </c>
      <c r="E842" s="1">
        <v>45402</v>
      </c>
      <c r="F842" s="4">
        <v>13257</v>
      </c>
      <c r="G842" s="4">
        <v>967597</v>
      </c>
      <c r="H842" s="2">
        <v>944</v>
      </c>
      <c r="I842" s="16">
        <v>15</v>
      </c>
      <c r="J842" s="1">
        <v>45417</v>
      </c>
      <c r="K842" s="3">
        <v>1.37E-2</v>
      </c>
      <c r="L842" s="13">
        <f t="shared" si="29"/>
        <v>0.9756127809408256</v>
      </c>
      <c r="M842" s="16">
        <f t="shared" si="30"/>
        <v>883.8</v>
      </c>
    </row>
    <row r="843" spans="1:13" x14ac:dyDescent="0.3">
      <c r="A843">
        <v>100841</v>
      </c>
      <c r="B843" t="s">
        <v>10</v>
      </c>
      <c r="C843" t="s">
        <v>20</v>
      </c>
      <c r="D843" t="s">
        <v>17</v>
      </c>
      <c r="E843" s="1">
        <v>45403</v>
      </c>
      <c r="F843" s="4">
        <v>34835</v>
      </c>
      <c r="G843" s="4">
        <v>239272</v>
      </c>
      <c r="H843" s="2">
        <v>1208</v>
      </c>
      <c r="I843" s="16">
        <v>3</v>
      </c>
      <c r="J843" s="1">
        <v>45406</v>
      </c>
      <c r="K843" s="3">
        <v>0.14560000000000001</v>
      </c>
      <c r="L843" s="13">
        <f t="shared" si="29"/>
        <v>5.0486475642783102</v>
      </c>
      <c r="M843" s="16">
        <f t="shared" si="30"/>
        <v>11611.666666666666</v>
      </c>
    </row>
    <row r="844" spans="1:13" x14ac:dyDescent="0.3">
      <c r="A844">
        <v>100842</v>
      </c>
      <c r="B844" t="s">
        <v>13</v>
      </c>
      <c r="C844" t="s">
        <v>20</v>
      </c>
      <c r="D844" t="s">
        <v>15</v>
      </c>
      <c r="E844" s="1">
        <v>45404</v>
      </c>
      <c r="F844" s="4">
        <v>61666</v>
      </c>
      <c r="G844" s="4">
        <v>380770</v>
      </c>
      <c r="H844" s="2">
        <v>735</v>
      </c>
      <c r="I844" s="16">
        <v>1</v>
      </c>
      <c r="J844" s="1">
        <v>45405</v>
      </c>
      <c r="K844" s="3">
        <v>0.16200000000000001</v>
      </c>
      <c r="L844" s="13">
        <f t="shared" si="29"/>
        <v>1.9302991307088269</v>
      </c>
      <c r="M844" s="16">
        <f t="shared" si="30"/>
        <v>61666</v>
      </c>
    </row>
    <row r="845" spans="1:13" x14ac:dyDescent="0.3">
      <c r="A845">
        <v>100843</v>
      </c>
      <c r="B845" t="s">
        <v>13</v>
      </c>
      <c r="C845" t="s">
        <v>21</v>
      </c>
      <c r="D845" t="s">
        <v>17</v>
      </c>
      <c r="E845" s="1">
        <v>45405</v>
      </c>
      <c r="F845" s="4">
        <v>33803</v>
      </c>
      <c r="G845" s="4">
        <v>706545</v>
      </c>
      <c r="H845" s="2">
        <v>1918</v>
      </c>
      <c r="I845" s="16">
        <v>1</v>
      </c>
      <c r="J845" s="1">
        <v>45406</v>
      </c>
      <c r="K845" s="3">
        <v>4.7800000000000002E-2</v>
      </c>
      <c r="L845" s="13">
        <f t="shared" si="29"/>
        <v>2.7146183187199684</v>
      </c>
      <c r="M845" s="16">
        <f t="shared" si="30"/>
        <v>33803</v>
      </c>
    </row>
    <row r="846" spans="1:13" x14ac:dyDescent="0.3">
      <c r="A846">
        <v>100844</v>
      </c>
      <c r="B846" t="s">
        <v>18</v>
      </c>
      <c r="C846" t="s">
        <v>23</v>
      </c>
      <c r="D846" t="s">
        <v>12</v>
      </c>
      <c r="E846" s="1">
        <v>45406</v>
      </c>
      <c r="F846" s="4">
        <v>40291</v>
      </c>
      <c r="G846" s="4">
        <v>709685</v>
      </c>
      <c r="H846" s="2">
        <v>1544</v>
      </c>
      <c r="I846" s="16">
        <v>3</v>
      </c>
      <c r="J846" s="1">
        <v>45409</v>
      </c>
      <c r="K846" s="3">
        <v>5.6800000000000003E-2</v>
      </c>
      <c r="L846" s="13">
        <f t="shared" si="29"/>
        <v>2.1756131241325378</v>
      </c>
      <c r="M846" s="16">
        <f t="shared" si="30"/>
        <v>13430.333333333334</v>
      </c>
    </row>
    <row r="847" spans="1:13" x14ac:dyDescent="0.3">
      <c r="A847">
        <v>100845</v>
      </c>
      <c r="B847" t="s">
        <v>10</v>
      </c>
      <c r="C847" t="s">
        <v>20</v>
      </c>
      <c r="D847" t="s">
        <v>12</v>
      </c>
      <c r="E847" s="1">
        <v>45407</v>
      </c>
      <c r="F847" s="4">
        <v>86716</v>
      </c>
      <c r="G847" s="4">
        <v>414085</v>
      </c>
      <c r="H847" s="2">
        <v>4284</v>
      </c>
      <c r="I847" s="16">
        <v>13</v>
      </c>
      <c r="J847" s="1">
        <v>45420</v>
      </c>
      <c r="K847" s="3">
        <v>0.2094</v>
      </c>
      <c r="L847" s="13">
        <f t="shared" si="29"/>
        <v>10.345701969402416</v>
      </c>
      <c r="M847" s="16">
        <f t="shared" si="30"/>
        <v>6670.4615384615381</v>
      </c>
    </row>
    <row r="848" spans="1:13" x14ac:dyDescent="0.3">
      <c r="A848">
        <v>100846</v>
      </c>
      <c r="B848" t="s">
        <v>18</v>
      </c>
      <c r="C848" t="s">
        <v>16</v>
      </c>
      <c r="D848" t="s">
        <v>17</v>
      </c>
      <c r="E848" s="1">
        <v>45408</v>
      </c>
      <c r="F848" s="4">
        <v>52373</v>
      </c>
      <c r="G848" s="4">
        <v>201809</v>
      </c>
      <c r="H848" s="2">
        <v>356</v>
      </c>
      <c r="I848" s="16">
        <v>21</v>
      </c>
      <c r="J848" s="1">
        <v>45429</v>
      </c>
      <c r="K848" s="3">
        <v>0.25950000000000001</v>
      </c>
      <c r="L848" s="13">
        <f t="shared" si="29"/>
        <v>1.7640442200298303</v>
      </c>
      <c r="M848" s="16">
        <f t="shared" si="30"/>
        <v>2493.9523809523807</v>
      </c>
    </row>
    <row r="849" spans="1:13" x14ac:dyDescent="0.3">
      <c r="A849">
        <v>100847</v>
      </c>
      <c r="B849" t="s">
        <v>13</v>
      </c>
      <c r="C849" t="s">
        <v>20</v>
      </c>
      <c r="D849" t="s">
        <v>24</v>
      </c>
      <c r="E849" s="1">
        <v>45409</v>
      </c>
      <c r="F849" s="4">
        <v>80202</v>
      </c>
      <c r="G849" s="4">
        <v>258814</v>
      </c>
      <c r="H849" s="2">
        <v>3408</v>
      </c>
      <c r="I849" s="16">
        <v>13</v>
      </c>
      <c r="J849" s="1">
        <v>45422</v>
      </c>
      <c r="K849" s="3">
        <v>0.30990000000000001</v>
      </c>
      <c r="L849" s="13">
        <f t="shared" si="29"/>
        <v>13.167757540163977</v>
      </c>
      <c r="M849" s="16">
        <f t="shared" si="30"/>
        <v>6169.3846153846152</v>
      </c>
    </row>
    <row r="850" spans="1:13" x14ac:dyDescent="0.3">
      <c r="A850">
        <v>100848</v>
      </c>
      <c r="B850" t="s">
        <v>18</v>
      </c>
      <c r="C850" t="s">
        <v>25</v>
      </c>
      <c r="D850" t="s">
        <v>17</v>
      </c>
      <c r="E850" s="1">
        <v>45410</v>
      </c>
      <c r="F850" s="4">
        <v>41015</v>
      </c>
      <c r="G850" s="4">
        <v>516195</v>
      </c>
      <c r="H850" s="2">
        <v>4507</v>
      </c>
      <c r="I850" s="16">
        <v>27</v>
      </c>
      <c r="J850" s="1">
        <v>45437</v>
      </c>
      <c r="K850" s="3">
        <v>7.9500000000000001E-2</v>
      </c>
      <c r="L850" s="13">
        <f t="shared" si="29"/>
        <v>8.7311965439417261</v>
      </c>
      <c r="M850" s="16">
        <f t="shared" si="30"/>
        <v>1519.0740740740741</v>
      </c>
    </row>
    <row r="851" spans="1:13" x14ac:dyDescent="0.3">
      <c r="A851">
        <v>100849</v>
      </c>
      <c r="B851" t="s">
        <v>19</v>
      </c>
      <c r="C851" t="s">
        <v>14</v>
      </c>
      <c r="D851" t="s">
        <v>17</v>
      </c>
      <c r="E851" s="1">
        <v>45411</v>
      </c>
      <c r="F851" s="4">
        <v>13385</v>
      </c>
      <c r="G851" s="4">
        <v>769317</v>
      </c>
      <c r="H851" s="2">
        <v>4470</v>
      </c>
      <c r="I851" s="16">
        <v>24</v>
      </c>
      <c r="J851" s="1">
        <v>45435</v>
      </c>
      <c r="K851" s="3">
        <v>1.7399999999999999E-2</v>
      </c>
      <c r="L851" s="13">
        <f t="shared" si="29"/>
        <v>5.8103486599152241</v>
      </c>
      <c r="M851" s="16">
        <f t="shared" si="30"/>
        <v>557.70833333333337</v>
      </c>
    </row>
    <row r="852" spans="1:13" x14ac:dyDescent="0.3">
      <c r="A852">
        <v>100850</v>
      </c>
      <c r="B852" t="s">
        <v>18</v>
      </c>
      <c r="C852" t="s">
        <v>25</v>
      </c>
      <c r="D852" t="s">
        <v>12</v>
      </c>
      <c r="E852" s="1">
        <v>45412</v>
      </c>
      <c r="F852" s="4">
        <v>5577</v>
      </c>
      <c r="G852" s="4">
        <v>663252</v>
      </c>
      <c r="H852" s="2">
        <v>34</v>
      </c>
      <c r="I852" s="16">
        <v>16</v>
      </c>
      <c r="J852" s="1">
        <v>45428</v>
      </c>
      <c r="K852" s="3">
        <v>8.3999999999999995E-3</v>
      </c>
      <c r="L852" s="13">
        <f t="shared" si="29"/>
        <v>5.1262566867495314E-2</v>
      </c>
      <c r="M852" s="16">
        <f t="shared" si="30"/>
        <v>348.5625</v>
      </c>
    </row>
    <row r="853" spans="1:13" x14ac:dyDescent="0.3">
      <c r="A853">
        <v>100851</v>
      </c>
      <c r="B853" t="s">
        <v>18</v>
      </c>
      <c r="C853" t="s">
        <v>11</v>
      </c>
      <c r="D853" t="s">
        <v>17</v>
      </c>
      <c r="E853" s="1">
        <v>45413</v>
      </c>
      <c r="F853" s="4">
        <v>17465</v>
      </c>
      <c r="G853" s="4">
        <v>295458</v>
      </c>
      <c r="H853" s="2">
        <v>2335</v>
      </c>
      <c r="I853" s="16">
        <v>17</v>
      </c>
      <c r="J853" s="1">
        <v>45430</v>
      </c>
      <c r="K853" s="3">
        <v>5.91E-2</v>
      </c>
      <c r="L853" s="13">
        <f t="shared" si="29"/>
        <v>7.9029845189502401</v>
      </c>
      <c r="M853" s="16">
        <f t="shared" si="30"/>
        <v>1027.3529411764705</v>
      </c>
    </row>
    <row r="854" spans="1:13" x14ac:dyDescent="0.3">
      <c r="A854">
        <v>100852</v>
      </c>
      <c r="B854" t="s">
        <v>10</v>
      </c>
      <c r="C854" t="s">
        <v>25</v>
      </c>
      <c r="D854" t="s">
        <v>17</v>
      </c>
      <c r="E854" s="1">
        <v>45414</v>
      </c>
      <c r="F854" s="4">
        <v>14553</v>
      </c>
      <c r="G854" s="4">
        <v>655662</v>
      </c>
      <c r="H854" s="2">
        <v>1973</v>
      </c>
      <c r="I854" s="16">
        <v>18</v>
      </c>
      <c r="J854" s="1">
        <v>45432</v>
      </c>
      <c r="K854" s="3">
        <v>2.2200000000000001E-2</v>
      </c>
      <c r="L854" s="13">
        <f t="shared" si="29"/>
        <v>3.0091724089546137</v>
      </c>
      <c r="M854" s="16">
        <f t="shared" si="30"/>
        <v>808.5</v>
      </c>
    </row>
    <row r="855" spans="1:13" x14ac:dyDescent="0.3">
      <c r="A855">
        <v>100853</v>
      </c>
      <c r="B855" t="s">
        <v>19</v>
      </c>
      <c r="C855" t="s">
        <v>23</v>
      </c>
      <c r="D855" t="s">
        <v>17</v>
      </c>
      <c r="E855" s="1">
        <v>45415</v>
      </c>
      <c r="F855" s="4">
        <v>73020</v>
      </c>
      <c r="G855" s="4">
        <v>616828</v>
      </c>
      <c r="H855" s="2">
        <v>1916</v>
      </c>
      <c r="I855" s="16">
        <v>7</v>
      </c>
      <c r="J855" s="1">
        <v>45422</v>
      </c>
      <c r="K855" s="3">
        <v>0.11840000000000001</v>
      </c>
      <c r="L855" s="13">
        <f t="shared" si="29"/>
        <v>3.1062143741853485</v>
      </c>
      <c r="M855" s="16">
        <f t="shared" si="30"/>
        <v>10431.428571428571</v>
      </c>
    </row>
    <row r="856" spans="1:13" x14ac:dyDescent="0.3">
      <c r="A856">
        <v>100854</v>
      </c>
      <c r="B856" t="s">
        <v>18</v>
      </c>
      <c r="C856" t="s">
        <v>14</v>
      </c>
      <c r="D856" t="s">
        <v>22</v>
      </c>
      <c r="E856" s="1">
        <v>45416</v>
      </c>
      <c r="F856" s="4">
        <v>38524</v>
      </c>
      <c r="G856" s="4">
        <v>154841</v>
      </c>
      <c r="H856" s="2">
        <v>500</v>
      </c>
      <c r="I856" s="16">
        <v>2</v>
      </c>
      <c r="J856" s="1">
        <v>45418</v>
      </c>
      <c r="K856" s="3">
        <v>0.24879999999999999</v>
      </c>
      <c r="L856" s="13">
        <f t="shared" si="29"/>
        <v>3.2291189026162321</v>
      </c>
      <c r="M856" s="16">
        <f t="shared" si="30"/>
        <v>19262</v>
      </c>
    </row>
    <row r="857" spans="1:13" x14ac:dyDescent="0.3">
      <c r="A857">
        <v>100855</v>
      </c>
      <c r="B857" t="s">
        <v>13</v>
      </c>
      <c r="C857" t="s">
        <v>11</v>
      </c>
      <c r="D857" t="s">
        <v>22</v>
      </c>
      <c r="E857" s="1">
        <v>45417</v>
      </c>
      <c r="F857" s="4">
        <v>7279</v>
      </c>
      <c r="G857" s="4">
        <v>869993</v>
      </c>
      <c r="H857" s="2">
        <v>1555</v>
      </c>
      <c r="I857" s="16">
        <v>12</v>
      </c>
      <c r="J857" s="1">
        <v>45429</v>
      </c>
      <c r="K857" s="3">
        <v>8.3999999999999995E-3</v>
      </c>
      <c r="L857" s="13">
        <f t="shared" si="29"/>
        <v>1.7873707029826678</v>
      </c>
      <c r="M857" s="16">
        <f t="shared" si="30"/>
        <v>606.58333333333337</v>
      </c>
    </row>
    <row r="858" spans="1:13" x14ac:dyDescent="0.3">
      <c r="A858">
        <v>100856</v>
      </c>
      <c r="B858" t="s">
        <v>10</v>
      </c>
      <c r="C858" t="s">
        <v>11</v>
      </c>
      <c r="D858" t="s">
        <v>15</v>
      </c>
      <c r="E858" s="1">
        <v>45418</v>
      </c>
      <c r="F858" s="4">
        <v>99333</v>
      </c>
      <c r="G858" s="4">
        <v>15580</v>
      </c>
      <c r="H858" s="2">
        <v>1956</v>
      </c>
      <c r="I858" s="16">
        <v>23</v>
      </c>
      <c r="J858" s="1">
        <v>45441</v>
      </c>
      <c r="K858" s="3">
        <v>6.3757000000000001</v>
      </c>
      <c r="L858" s="13">
        <f t="shared" si="29"/>
        <v>125.54557124518614</v>
      </c>
      <c r="M858" s="16">
        <f t="shared" si="30"/>
        <v>4318.826086956522</v>
      </c>
    </row>
    <row r="859" spans="1:13" x14ac:dyDescent="0.3">
      <c r="A859">
        <v>100857</v>
      </c>
      <c r="B859" t="s">
        <v>10</v>
      </c>
      <c r="C859" t="s">
        <v>20</v>
      </c>
      <c r="D859" t="s">
        <v>17</v>
      </c>
      <c r="E859" s="1">
        <v>45419</v>
      </c>
      <c r="F859" s="4">
        <v>66811</v>
      </c>
      <c r="G859" s="4">
        <v>600222</v>
      </c>
      <c r="H859" s="2">
        <v>541</v>
      </c>
      <c r="I859" s="16">
        <v>24</v>
      </c>
      <c r="J859" s="1">
        <v>45443</v>
      </c>
      <c r="K859" s="3">
        <v>0.1113</v>
      </c>
      <c r="L859" s="13">
        <f t="shared" si="29"/>
        <v>0.9013331733925114</v>
      </c>
      <c r="M859" s="16">
        <f t="shared" si="30"/>
        <v>2783.7916666666665</v>
      </c>
    </row>
    <row r="860" spans="1:13" x14ac:dyDescent="0.3">
      <c r="A860">
        <v>100858</v>
      </c>
      <c r="B860" t="s">
        <v>18</v>
      </c>
      <c r="C860" t="s">
        <v>16</v>
      </c>
      <c r="D860" t="s">
        <v>17</v>
      </c>
      <c r="E860" s="1">
        <v>45420</v>
      </c>
      <c r="F860" s="4">
        <v>23272</v>
      </c>
      <c r="G860" s="4">
        <v>920689</v>
      </c>
      <c r="H860" s="2">
        <v>4846</v>
      </c>
      <c r="I860" s="16">
        <v>10</v>
      </c>
      <c r="J860" s="1">
        <v>45430</v>
      </c>
      <c r="K860" s="3">
        <v>2.53E-2</v>
      </c>
      <c r="L860" s="13">
        <f t="shared" si="29"/>
        <v>5.2634494384097126</v>
      </c>
      <c r="M860" s="16">
        <f t="shared" si="30"/>
        <v>2327.1999999999998</v>
      </c>
    </row>
    <row r="861" spans="1:13" x14ac:dyDescent="0.3">
      <c r="A861">
        <v>100859</v>
      </c>
      <c r="B861" t="s">
        <v>13</v>
      </c>
      <c r="C861" t="s">
        <v>23</v>
      </c>
      <c r="D861" t="s">
        <v>24</v>
      </c>
      <c r="E861" s="1">
        <v>45421</v>
      </c>
      <c r="F861" s="4">
        <v>21477</v>
      </c>
      <c r="G861" s="4">
        <v>478651</v>
      </c>
      <c r="H861" s="2">
        <v>1857</v>
      </c>
      <c r="I861" s="16">
        <v>26</v>
      </c>
      <c r="J861" s="1">
        <v>45447</v>
      </c>
      <c r="K861" s="3">
        <v>4.4900000000000002E-2</v>
      </c>
      <c r="L861" s="13">
        <f t="shared" si="29"/>
        <v>3.8796534426962439</v>
      </c>
      <c r="M861" s="16">
        <f t="shared" si="30"/>
        <v>826.03846153846155</v>
      </c>
    </row>
    <row r="862" spans="1:13" x14ac:dyDescent="0.3">
      <c r="A862">
        <v>100860</v>
      </c>
      <c r="B862" t="s">
        <v>10</v>
      </c>
      <c r="C862" t="s">
        <v>20</v>
      </c>
      <c r="D862" t="s">
        <v>12</v>
      </c>
      <c r="E862" s="1">
        <v>45422</v>
      </c>
      <c r="F862" s="4">
        <v>73314</v>
      </c>
      <c r="G862" s="4">
        <v>659465</v>
      </c>
      <c r="H862" s="2">
        <v>4190</v>
      </c>
      <c r="I862" s="16">
        <v>14</v>
      </c>
      <c r="J862" s="1">
        <v>45436</v>
      </c>
      <c r="K862" s="3">
        <v>0.11119999999999999</v>
      </c>
      <c r="L862" s="13">
        <f t="shared" si="29"/>
        <v>6.3536351436391616</v>
      </c>
      <c r="M862" s="16">
        <f t="shared" si="30"/>
        <v>5236.7142857142853</v>
      </c>
    </row>
    <row r="863" spans="1:13" x14ac:dyDescent="0.3">
      <c r="A863">
        <v>100861</v>
      </c>
      <c r="B863" t="s">
        <v>10</v>
      </c>
      <c r="C863" t="s">
        <v>16</v>
      </c>
      <c r="D863" t="s">
        <v>24</v>
      </c>
      <c r="E863" s="1">
        <v>45423</v>
      </c>
      <c r="F863" s="4">
        <v>82544</v>
      </c>
      <c r="G863" s="4">
        <v>868338</v>
      </c>
      <c r="H863" s="2">
        <v>1323</v>
      </c>
      <c r="I863" s="16">
        <v>9</v>
      </c>
      <c r="J863" s="1">
        <v>45432</v>
      </c>
      <c r="K863" s="3">
        <v>9.5100000000000004E-2</v>
      </c>
      <c r="L863" s="13">
        <f t="shared" si="29"/>
        <v>1.5236002570427645</v>
      </c>
      <c r="M863" s="16">
        <f t="shared" si="30"/>
        <v>9171.5555555555547</v>
      </c>
    </row>
    <row r="864" spans="1:13" x14ac:dyDescent="0.3">
      <c r="A864">
        <v>100862</v>
      </c>
      <c r="B864" t="s">
        <v>10</v>
      </c>
      <c r="C864" t="s">
        <v>20</v>
      </c>
      <c r="D864" t="s">
        <v>15</v>
      </c>
      <c r="E864" s="1">
        <v>45424</v>
      </c>
      <c r="F864" s="4">
        <v>2619</v>
      </c>
      <c r="G864" s="4">
        <v>769848</v>
      </c>
      <c r="H864" s="2">
        <v>2554</v>
      </c>
      <c r="I864" s="16">
        <v>7</v>
      </c>
      <c r="J864" s="1">
        <v>45431</v>
      </c>
      <c r="K864" s="3">
        <v>3.3999999999999998E-3</v>
      </c>
      <c r="L864" s="13">
        <f t="shared" si="29"/>
        <v>3.3175380075027796</v>
      </c>
      <c r="M864" s="16">
        <f t="shared" si="30"/>
        <v>374.14285714285717</v>
      </c>
    </row>
    <row r="865" spans="1:13" x14ac:dyDescent="0.3">
      <c r="A865">
        <v>100863</v>
      </c>
      <c r="B865" t="s">
        <v>13</v>
      </c>
      <c r="C865" t="s">
        <v>11</v>
      </c>
      <c r="D865" t="s">
        <v>24</v>
      </c>
      <c r="E865" s="1">
        <v>45425</v>
      </c>
      <c r="F865" s="4">
        <v>80535</v>
      </c>
      <c r="G865" s="4">
        <v>695736</v>
      </c>
      <c r="H865" s="2">
        <v>3430</v>
      </c>
      <c r="I865" s="16">
        <v>2</v>
      </c>
      <c r="J865" s="1">
        <v>45427</v>
      </c>
      <c r="K865" s="3">
        <v>0.1158</v>
      </c>
      <c r="L865" s="13">
        <f t="shared" si="29"/>
        <v>4.930030931272781</v>
      </c>
      <c r="M865" s="16">
        <f t="shared" si="30"/>
        <v>40267.5</v>
      </c>
    </row>
    <row r="866" spans="1:13" x14ac:dyDescent="0.3">
      <c r="A866">
        <v>100864</v>
      </c>
      <c r="B866" t="s">
        <v>18</v>
      </c>
      <c r="C866" t="s">
        <v>16</v>
      </c>
      <c r="D866" t="s">
        <v>15</v>
      </c>
      <c r="E866" s="1">
        <v>45426</v>
      </c>
      <c r="F866" s="4">
        <v>76466</v>
      </c>
      <c r="G866" s="4">
        <v>910412</v>
      </c>
      <c r="H866" s="2">
        <v>1392</v>
      </c>
      <c r="I866" s="16">
        <v>11</v>
      </c>
      <c r="J866" s="1">
        <v>45437</v>
      </c>
      <c r="K866" s="3">
        <v>8.4000000000000005E-2</v>
      </c>
      <c r="L866" s="13">
        <f t="shared" si="29"/>
        <v>1.5289780890410056</v>
      </c>
      <c r="M866" s="16">
        <f t="shared" si="30"/>
        <v>6951.454545454545</v>
      </c>
    </row>
    <row r="867" spans="1:13" x14ac:dyDescent="0.3">
      <c r="A867">
        <v>100865</v>
      </c>
      <c r="B867" t="s">
        <v>19</v>
      </c>
      <c r="C867" t="s">
        <v>23</v>
      </c>
      <c r="D867" t="s">
        <v>22</v>
      </c>
      <c r="E867" s="1">
        <v>45427</v>
      </c>
      <c r="F867" s="4">
        <v>1673</v>
      </c>
      <c r="G867" s="4">
        <v>689335</v>
      </c>
      <c r="H867" s="2">
        <v>3910</v>
      </c>
      <c r="I867" s="16">
        <v>19</v>
      </c>
      <c r="J867" s="1">
        <v>45446</v>
      </c>
      <c r="K867" s="3">
        <v>2.3999999999999998E-3</v>
      </c>
      <c r="L867" s="13">
        <f t="shared" si="29"/>
        <v>5.6721332878788981</v>
      </c>
      <c r="M867" s="16">
        <f t="shared" si="30"/>
        <v>88.05263157894737</v>
      </c>
    </row>
    <row r="868" spans="1:13" x14ac:dyDescent="0.3">
      <c r="A868">
        <v>100866</v>
      </c>
      <c r="B868" t="s">
        <v>10</v>
      </c>
      <c r="C868" t="s">
        <v>25</v>
      </c>
      <c r="D868" t="s">
        <v>12</v>
      </c>
      <c r="E868" s="1">
        <v>45428</v>
      </c>
      <c r="F868" s="4">
        <v>25496</v>
      </c>
      <c r="G868" s="4">
        <v>998467</v>
      </c>
      <c r="H868" s="2">
        <v>2528</v>
      </c>
      <c r="I868" s="16">
        <v>23</v>
      </c>
      <c r="J868" s="1">
        <v>45451</v>
      </c>
      <c r="K868" s="3">
        <v>2.5499999999999998E-2</v>
      </c>
      <c r="L868" s="13">
        <f t="shared" si="29"/>
        <v>2.5318813741465669</v>
      </c>
      <c r="M868" s="16">
        <f t="shared" si="30"/>
        <v>1108.5217391304348</v>
      </c>
    </row>
    <row r="869" spans="1:13" x14ac:dyDescent="0.3">
      <c r="A869">
        <v>100867</v>
      </c>
      <c r="B869" t="s">
        <v>10</v>
      </c>
      <c r="C869" t="s">
        <v>21</v>
      </c>
      <c r="D869" t="s">
        <v>17</v>
      </c>
      <c r="E869" s="1">
        <v>45429</v>
      </c>
      <c r="F869" s="4">
        <v>68477</v>
      </c>
      <c r="G869" s="4">
        <v>428311</v>
      </c>
      <c r="H869" s="2">
        <v>173</v>
      </c>
      <c r="I869" s="16">
        <v>17</v>
      </c>
      <c r="J869" s="1">
        <v>45446</v>
      </c>
      <c r="K869" s="3">
        <v>0.15989999999999999</v>
      </c>
      <c r="L869" s="13">
        <f t="shared" si="29"/>
        <v>0.40391211059253673</v>
      </c>
      <c r="M869" s="16">
        <f t="shared" si="30"/>
        <v>4028.0588235294117</v>
      </c>
    </row>
    <row r="870" spans="1:13" x14ac:dyDescent="0.3">
      <c r="A870">
        <v>100868</v>
      </c>
      <c r="B870" t="s">
        <v>18</v>
      </c>
      <c r="C870" t="s">
        <v>16</v>
      </c>
      <c r="D870" t="s">
        <v>12</v>
      </c>
      <c r="E870" s="1">
        <v>45430</v>
      </c>
      <c r="F870" s="4">
        <v>27549</v>
      </c>
      <c r="G870" s="4">
        <v>493884</v>
      </c>
      <c r="H870" s="2">
        <v>4174</v>
      </c>
      <c r="I870" s="16">
        <v>13</v>
      </c>
      <c r="J870" s="1">
        <v>45443</v>
      </c>
      <c r="K870" s="3">
        <v>5.5800000000000002E-2</v>
      </c>
      <c r="L870" s="13">
        <f t="shared" si="29"/>
        <v>8.4513772464789305</v>
      </c>
      <c r="M870" s="16">
        <f t="shared" si="30"/>
        <v>2119.1538461538462</v>
      </c>
    </row>
    <row r="871" spans="1:13" x14ac:dyDescent="0.3">
      <c r="A871">
        <v>100869</v>
      </c>
      <c r="B871" t="s">
        <v>18</v>
      </c>
      <c r="C871" t="s">
        <v>21</v>
      </c>
      <c r="D871" t="s">
        <v>17</v>
      </c>
      <c r="E871" s="1">
        <v>45431</v>
      </c>
      <c r="F871" s="4">
        <v>4773</v>
      </c>
      <c r="G871" s="4">
        <v>352308</v>
      </c>
      <c r="H871" s="2">
        <v>2308</v>
      </c>
      <c r="I871" s="16">
        <v>2</v>
      </c>
      <c r="J871" s="1">
        <v>45433</v>
      </c>
      <c r="K871" s="3">
        <v>1.35E-2</v>
      </c>
      <c r="L871" s="13">
        <f t="shared" si="29"/>
        <v>6.5510859815842952</v>
      </c>
      <c r="M871" s="16">
        <f t="shared" si="30"/>
        <v>2386.5</v>
      </c>
    </row>
    <row r="872" spans="1:13" x14ac:dyDescent="0.3">
      <c r="A872">
        <v>100870</v>
      </c>
      <c r="B872" t="s">
        <v>10</v>
      </c>
      <c r="C872" t="s">
        <v>25</v>
      </c>
      <c r="D872" t="s">
        <v>22</v>
      </c>
      <c r="E872" s="1">
        <v>45432</v>
      </c>
      <c r="F872" s="4">
        <v>49744</v>
      </c>
      <c r="G872" s="4">
        <v>970369</v>
      </c>
      <c r="H872" s="2">
        <v>2865</v>
      </c>
      <c r="I872" s="16">
        <v>20</v>
      </c>
      <c r="J872" s="1">
        <v>45452</v>
      </c>
      <c r="K872" s="3">
        <v>5.1299999999999998E-2</v>
      </c>
      <c r="L872" s="13">
        <f t="shared" si="29"/>
        <v>2.9524850855705407</v>
      </c>
      <c r="M872" s="16">
        <f t="shared" si="30"/>
        <v>2487.1999999999998</v>
      </c>
    </row>
    <row r="873" spans="1:13" x14ac:dyDescent="0.3">
      <c r="A873">
        <v>100871</v>
      </c>
      <c r="B873" t="s">
        <v>18</v>
      </c>
      <c r="C873" t="s">
        <v>11</v>
      </c>
      <c r="D873" t="s">
        <v>24</v>
      </c>
      <c r="E873" s="1">
        <v>45433</v>
      </c>
      <c r="F873" s="4">
        <v>45348</v>
      </c>
      <c r="G873" s="4">
        <v>422582</v>
      </c>
      <c r="H873" s="2">
        <v>2700</v>
      </c>
      <c r="I873" s="16">
        <v>19</v>
      </c>
      <c r="J873" s="1">
        <v>45452</v>
      </c>
      <c r="K873" s="3">
        <v>0.10730000000000001</v>
      </c>
      <c r="L873" s="13">
        <f t="shared" si="29"/>
        <v>6.3892924923446808</v>
      </c>
      <c r="M873" s="16">
        <f t="shared" si="30"/>
        <v>2386.7368421052633</v>
      </c>
    </row>
    <row r="874" spans="1:13" x14ac:dyDescent="0.3">
      <c r="A874">
        <v>100872</v>
      </c>
      <c r="B874" t="s">
        <v>19</v>
      </c>
      <c r="C874" t="s">
        <v>21</v>
      </c>
      <c r="D874" t="s">
        <v>17</v>
      </c>
      <c r="E874" s="1">
        <v>45434</v>
      </c>
      <c r="F874" s="4">
        <v>23329</v>
      </c>
      <c r="G874" s="4">
        <v>165570</v>
      </c>
      <c r="H874" s="2">
        <v>2215</v>
      </c>
      <c r="I874" s="16">
        <v>1</v>
      </c>
      <c r="J874" s="1">
        <v>45435</v>
      </c>
      <c r="K874" s="3">
        <v>0.1409</v>
      </c>
      <c r="L874" s="13">
        <f t="shared" si="29"/>
        <v>13.378027420426406</v>
      </c>
      <c r="M874" s="16">
        <f t="shared" si="30"/>
        <v>23329</v>
      </c>
    </row>
    <row r="875" spans="1:13" x14ac:dyDescent="0.3">
      <c r="A875">
        <v>100873</v>
      </c>
      <c r="B875" t="s">
        <v>18</v>
      </c>
      <c r="C875" t="s">
        <v>23</v>
      </c>
      <c r="D875" t="s">
        <v>15</v>
      </c>
      <c r="E875" s="1">
        <v>45435</v>
      </c>
      <c r="F875" s="4">
        <v>75377</v>
      </c>
      <c r="G875" s="4">
        <v>431509</v>
      </c>
      <c r="H875" s="2">
        <v>2911</v>
      </c>
      <c r="I875" s="16">
        <v>11</v>
      </c>
      <c r="J875" s="1">
        <v>45446</v>
      </c>
      <c r="K875" s="3">
        <v>0.17469999999999999</v>
      </c>
      <c r="L875" s="13">
        <f t="shared" si="29"/>
        <v>6.7460933607410274</v>
      </c>
      <c r="M875" s="16">
        <f t="shared" si="30"/>
        <v>6852.454545454545</v>
      </c>
    </row>
    <row r="876" spans="1:13" x14ac:dyDescent="0.3">
      <c r="A876">
        <v>100874</v>
      </c>
      <c r="B876" t="s">
        <v>10</v>
      </c>
      <c r="C876" t="s">
        <v>14</v>
      </c>
      <c r="D876" t="s">
        <v>24</v>
      </c>
      <c r="E876" s="1">
        <v>45436</v>
      </c>
      <c r="F876" s="4">
        <v>80108</v>
      </c>
      <c r="G876" s="4">
        <v>716979</v>
      </c>
      <c r="H876" s="2">
        <v>3385</v>
      </c>
      <c r="I876" s="16">
        <v>6</v>
      </c>
      <c r="J876" s="1">
        <v>45442</v>
      </c>
      <c r="K876" s="3">
        <v>0.11169999999999999</v>
      </c>
      <c r="L876" s="13">
        <f t="shared" si="29"/>
        <v>4.7211982498790066</v>
      </c>
      <c r="M876" s="16">
        <f t="shared" si="30"/>
        <v>13351.333333333334</v>
      </c>
    </row>
    <row r="877" spans="1:13" x14ac:dyDescent="0.3">
      <c r="A877">
        <v>100875</v>
      </c>
      <c r="B877" t="s">
        <v>10</v>
      </c>
      <c r="C877" t="s">
        <v>21</v>
      </c>
      <c r="D877" t="s">
        <v>22</v>
      </c>
      <c r="E877" s="1">
        <v>45437</v>
      </c>
      <c r="F877" s="4">
        <v>98574</v>
      </c>
      <c r="G877" s="4">
        <v>578767</v>
      </c>
      <c r="H877" s="2">
        <v>12</v>
      </c>
      <c r="I877" s="16">
        <v>14</v>
      </c>
      <c r="J877" s="1">
        <v>45451</v>
      </c>
      <c r="K877" s="3">
        <v>0.17030000000000001</v>
      </c>
      <c r="L877" s="13">
        <f t="shared" si="29"/>
        <v>2.0733732227303906E-2</v>
      </c>
      <c r="M877" s="16">
        <f t="shared" si="30"/>
        <v>7041</v>
      </c>
    </row>
    <row r="878" spans="1:13" x14ac:dyDescent="0.3">
      <c r="A878">
        <v>100876</v>
      </c>
      <c r="B878" t="s">
        <v>18</v>
      </c>
      <c r="C878" t="s">
        <v>11</v>
      </c>
      <c r="D878" t="s">
        <v>17</v>
      </c>
      <c r="E878" s="1">
        <v>45438</v>
      </c>
      <c r="F878" s="4">
        <v>80622</v>
      </c>
      <c r="G878" s="4">
        <v>856059</v>
      </c>
      <c r="H878" s="2">
        <v>934</v>
      </c>
      <c r="I878" s="16">
        <v>7</v>
      </c>
      <c r="J878" s="1">
        <v>45445</v>
      </c>
      <c r="K878" s="3">
        <v>9.4200000000000006E-2</v>
      </c>
      <c r="L878" s="13">
        <f t="shared" si="29"/>
        <v>1.0910462947063226</v>
      </c>
      <c r="M878" s="16">
        <f t="shared" si="30"/>
        <v>11517.428571428571</v>
      </c>
    </row>
    <row r="879" spans="1:13" x14ac:dyDescent="0.3">
      <c r="A879">
        <v>100877</v>
      </c>
      <c r="B879" t="s">
        <v>18</v>
      </c>
      <c r="C879" t="s">
        <v>16</v>
      </c>
      <c r="D879" t="s">
        <v>12</v>
      </c>
      <c r="E879" s="1">
        <v>45439</v>
      </c>
      <c r="F879" s="4">
        <v>26713</v>
      </c>
      <c r="G879" s="4">
        <v>194511</v>
      </c>
      <c r="H879" s="2">
        <v>2219</v>
      </c>
      <c r="I879" s="16">
        <v>21</v>
      </c>
      <c r="J879" s="1">
        <v>45460</v>
      </c>
      <c r="K879" s="3">
        <v>0.13730000000000001</v>
      </c>
      <c r="L879" s="13">
        <f t="shared" si="29"/>
        <v>11.408095171995415</v>
      </c>
      <c r="M879" s="16">
        <f t="shared" si="30"/>
        <v>1272.047619047619</v>
      </c>
    </row>
    <row r="880" spans="1:13" x14ac:dyDescent="0.3">
      <c r="A880">
        <v>100878</v>
      </c>
      <c r="B880" t="s">
        <v>13</v>
      </c>
      <c r="C880" t="s">
        <v>21</v>
      </c>
      <c r="D880" t="s">
        <v>15</v>
      </c>
      <c r="E880" s="1">
        <v>45440</v>
      </c>
      <c r="F880" s="4">
        <v>8077</v>
      </c>
      <c r="G880" s="4">
        <v>245907</v>
      </c>
      <c r="H880" s="2">
        <v>4225</v>
      </c>
      <c r="I880" s="16">
        <v>29</v>
      </c>
      <c r="J880" s="1">
        <v>45469</v>
      </c>
      <c r="K880" s="3">
        <v>3.2800000000000003E-2</v>
      </c>
      <c r="L880" s="13">
        <f t="shared" si="29"/>
        <v>17.181292114498572</v>
      </c>
      <c r="M880" s="16">
        <f t="shared" si="30"/>
        <v>278.51724137931035</v>
      </c>
    </row>
    <row r="881" spans="1:13" x14ac:dyDescent="0.3">
      <c r="A881">
        <v>100879</v>
      </c>
      <c r="B881" t="s">
        <v>13</v>
      </c>
      <c r="C881" t="s">
        <v>16</v>
      </c>
      <c r="D881" t="s">
        <v>15</v>
      </c>
      <c r="E881" s="1">
        <v>45441</v>
      </c>
      <c r="F881" s="4">
        <v>31308</v>
      </c>
      <c r="G881" s="4">
        <v>996074</v>
      </c>
      <c r="H881" s="2">
        <v>66</v>
      </c>
      <c r="I881" s="16">
        <v>5</v>
      </c>
      <c r="J881" s="1">
        <v>45446</v>
      </c>
      <c r="K881" s="3">
        <v>3.1399999999999997E-2</v>
      </c>
      <c r="L881" s="13">
        <f t="shared" si="29"/>
        <v>6.6260137299036015E-2</v>
      </c>
      <c r="M881" s="16">
        <f t="shared" si="30"/>
        <v>6261.6</v>
      </c>
    </row>
    <row r="882" spans="1:13" x14ac:dyDescent="0.3">
      <c r="A882">
        <v>100880</v>
      </c>
      <c r="B882" t="s">
        <v>13</v>
      </c>
      <c r="C882" t="s">
        <v>25</v>
      </c>
      <c r="D882" t="s">
        <v>12</v>
      </c>
      <c r="E882" s="1">
        <v>45442</v>
      </c>
      <c r="F882" s="4">
        <v>62743</v>
      </c>
      <c r="G882" s="4">
        <v>157929</v>
      </c>
      <c r="H882" s="2">
        <v>4056</v>
      </c>
      <c r="I882" s="16">
        <v>25</v>
      </c>
      <c r="J882" s="1">
        <v>45467</v>
      </c>
      <c r="K882" s="3">
        <v>0.39729999999999999</v>
      </c>
      <c r="L882" s="13">
        <f t="shared" si="29"/>
        <v>25.682426913359802</v>
      </c>
      <c r="M882" s="16">
        <f t="shared" si="30"/>
        <v>2509.7199999999998</v>
      </c>
    </row>
    <row r="883" spans="1:13" x14ac:dyDescent="0.3">
      <c r="A883">
        <v>100881</v>
      </c>
      <c r="B883" t="s">
        <v>13</v>
      </c>
      <c r="C883" t="s">
        <v>21</v>
      </c>
      <c r="D883" t="s">
        <v>17</v>
      </c>
      <c r="E883" s="1">
        <v>45443</v>
      </c>
      <c r="F883" s="4">
        <v>8798</v>
      </c>
      <c r="G883" s="4">
        <v>392153</v>
      </c>
      <c r="H883" s="2">
        <v>4861</v>
      </c>
      <c r="I883" s="16">
        <v>19</v>
      </c>
      <c r="J883" s="1">
        <v>45462</v>
      </c>
      <c r="K883" s="3">
        <v>2.24E-2</v>
      </c>
      <c r="L883" s="13">
        <f t="shared" si="29"/>
        <v>12.395672097370159</v>
      </c>
      <c r="M883" s="16">
        <f t="shared" si="30"/>
        <v>463.05263157894734</v>
      </c>
    </row>
    <row r="884" spans="1:13" x14ac:dyDescent="0.3">
      <c r="A884">
        <v>100882</v>
      </c>
      <c r="B884" t="s">
        <v>19</v>
      </c>
      <c r="C884" t="s">
        <v>11</v>
      </c>
      <c r="D884" t="s">
        <v>15</v>
      </c>
      <c r="E884" s="1">
        <v>45444</v>
      </c>
      <c r="F884" s="4">
        <v>2532</v>
      </c>
      <c r="G884" s="4">
        <v>85785</v>
      </c>
      <c r="H884" s="2">
        <v>3176</v>
      </c>
      <c r="I884" s="16">
        <v>15</v>
      </c>
      <c r="J884" s="1">
        <v>45459</v>
      </c>
      <c r="K884" s="3">
        <v>2.9499999999999998E-2</v>
      </c>
      <c r="L884" s="13">
        <f t="shared" si="29"/>
        <v>37.022789531969465</v>
      </c>
      <c r="M884" s="16">
        <f t="shared" si="30"/>
        <v>168.8</v>
      </c>
    </row>
    <row r="885" spans="1:13" x14ac:dyDescent="0.3">
      <c r="A885">
        <v>100883</v>
      </c>
      <c r="B885" t="s">
        <v>13</v>
      </c>
      <c r="C885" t="s">
        <v>20</v>
      </c>
      <c r="D885" t="s">
        <v>15</v>
      </c>
      <c r="E885" s="1">
        <v>45445</v>
      </c>
      <c r="F885" s="4">
        <v>22197</v>
      </c>
      <c r="G885" s="4">
        <v>765841</v>
      </c>
      <c r="H885" s="2">
        <v>1467</v>
      </c>
      <c r="I885" s="16">
        <v>23</v>
      </c>
      <c r="J885" s="1">
        <v>45468</v>
      </c>
      <c r="K885" s="3">
        <v>2.9000000000000001E-2</v>
      </c>
      <c r="L885" s="13">
        <f t="shared" si="29"/>
        <v>1.9155412154742302</v>
      </c>
      <c r="M885" s="16">
        <f t="shared" si="30"/>
        <v>965.08695652173913</v>
      </c>
    </row>
    <row r="886" spans="1:13" x14ac:dyDescent="0.3">
      <c r="A886">
        <v>100884</v>
      </c>
      <c r="B886" t="s">
        <v>18</v>
      </c>
      <c r="C886" t="s">
        <v>11</v>
      </c>
      <c r="D886" t="s">
        <v>15</v>
      </c>
      <c r="E886" s="1">
        <v>45446</v>
      </c>
      <c r="F886" s="4">
        <v>99394</v>
      </c>
      <c r="G886" s="4">
        <v>57012</v>
      </c>
      <c r="H886" s="2">
        <v>1837</v>
      </c>
      <c r="I886" s="16">
        <v>20</v>
      </c>
      <c r="J886" s="1">
        <v>45466</v>
      </c>
      <c r="K886" s="3">
        <v>1.7434000000000001</v>
      </c>
      <c r="L886" s="13">
        <f t="shared" si="29"/>
        <v>32.221286746649824</v>
      </c>
      <c r="M886" s="16">
        <f t="shared" si="30"/>
        <v>4969.7</v>
      </c>
    </row>
    <row r="887" spans="1:13" x14ac:dyDescent="0.3">
      <c r="A887">
        <v>100885</v>
      </c>
      <c r="B887" t="s">
        <v>18</v>
      </c>
      <c r="C887" t="s">
        <v>21</v>
      </c>
      <c r="D887" t="s">
        <v>12</v>
      </c>
      <c r="E887" s="1">
        <v>45447</v>
      </c>
      <c r="F887" s="4">
        <v>9803</v>
      </c>
      <c r="G887" s="4">
        <v>894048</v>
      </c>
      <c r="H887" s="2">
        <v>3542</v>
      </c>
      <c r="I887" s="16">
        <v>19</v>
      </c>
      <c r="J887" s="1">
        <v>45466</v>
      </c>
      <c r="K887" s="3">
        <v>1.0999999999999999E-2</v>
      </c>
      <c r="L887" s="13">
        <f t="shared" si="29"/>
        <v>3.9617559683596406</v>
      </c>
      <c r="M887" s="16">
        <f t="shared" si="30"/>
        <v>515.9473684210526</v>
      </c>
    </row>
    <row r="888" spans="1:13" x14ac:dyDescent="0.3">
      <c r="A888">
        <v>100886</v>
      </c>
      <c r="B888" t="s">
        <v>18</v>
      </c>
      <c r="C888" t="s">
        <v>20</v>
      </c>
      <c r="D888" t="s">
        <v>12</v>
      </c>
      <c r="E888" s="1">
        <v>45448</v>
      </c>
      <c r="F888" s="4">
        <v>87152</v>
      </c>
      <c r="G888" s="4">
        <v>250231</v>
      </c>
      <c r="H888" s="2">
        <v>708</v>
      </c>
      <c r="I888" s="16">
        <v>14</v>
      </c>
      <c r="J888" s="1">
        <v>45462</v>
      </c>
      <c r="K888" s="3">
        <v>0.3483</v>
      </c>
      <c r="L888" s="13">
        <f t="shared" si="29"/>
        <v>2.8293856476615611</v>
      </c>
      <c r="M888" s="16">
        <f t="shared" si="30"/>
        <v>6225.1428571428569</v>
      </c>
    </row>
    <row r="889" spans="1:13" x14ac:dyDescent="0.3">
      <c r="A889">
        <v>100887</v>
      </c>
      <c r="B889" t="s">
        <v>18</v>
      </c>
      <c r="C889" t="s">
        <v>25</v>
      </c>
      <c r="D889" t="s">
        <v>22</v>
      </c>
      <c r="E889" s="1">
        <v>45449</v>
      </c>
      <c r="F889" s="4">
        <v>30987</v>
      </c>
      <c r="G889" s="4">
        <v>123623</v>
      </c>
      <c r="H889" s="2">
        <v>320</v>
      </c>
      <c r="I889" s="16">
        <v>7</v>
      </c>
      <c r="J889" s="1">
        <v>45456</v>
      </c>
      <c r="K889" s="3">
        <v>0.25069999999999998</v>
      </c>
      <c r="L889" s="13">
        <f t="shared" si="29"/>
        <v>2.5885150821449083</v>
      </c>
      <c r="M889" s="16">
        <f t="shared" si="30"/>
        <v>4426.7142857142853</v>
      </c>
    </row>
    <row r="890" spans="1:13" x14ac:dyDescent="0.3">
      <c r="A890">
        <v>100888</v>
      </c>
      <c r="B890" t="s">
        <v>18</v>
      </c>
      <c r="C890" t="s">
        <v>23</v>
      </c>
      <c r="D890" t="s">
        <v>17</v>
      </c>
      <c r="E890" s="1">
        <v>45450</v>
      </c>
      <c r="F890" s="4">
        <v>30626</v>
      </c>
      <c r="G890" s="4">
        <v>34019</v>
      </c>
      <c r="H890" s="2">
        <v>3265</v>
      </c>
      <c r="I890" s="16">
        <v>26</v>
      </c>
      <c r="J890" s="1">
        <v>45476</v>
      </c>
      <c r="K890" s="3">
        <v>0.90029999999999999</v>
      </c>
      <c r="L890" s="13">
        <f t="shared" si="29"/>
        <v>95.975778241570879</v>
      </c>
      <c r="M890" s="16">
        <f t="shared" si="30"/>
        <v>1177.9230769230769</v>
      </c>
    </row>
    <row r="891" spans="1:13" x14ac:dyDescent="0.3">
      <c r="A891">
        <v>100889</v>
      </c>
      <c r="B891" t="s">
        <v>13</v>
      </c>
      <c r="C891" t="s">
        <v>14</v>
      </c>
      <c r="D891" t="s">
        <v>17</v>
      </c>
      <c r="E891" s="1">
        <v>45451</v>
      </c>
      <c r="F891" s="4">
        <v>65962</v>
      </c>
      <c r="G891" s="4">
        <v>763905</v>
      </c>
      <c r="H891" s="2">
        <v>4892</v>
      </c>
      <c r="I891" s="16">
        <v>18</v>
      </c>
      <c r="J891" s="1">
        <v>45469</v>
      </c>
      <c r="K891" s="3">
        <v>8.6300000000000002E-2</v>
      </c>
      <c r="L891" s="13">
        <f t="shared" si="29"/>
        <v>6.4039376624056654</v>
      </c>
      <c r="M891" s="16">
        <f t="shared" si="30"/>
        <v>3664.5555555555557</v>
      </c>
    </row>
    <row r="892" spans="1:13" x14ac:dyDescent="0.3">
      <c r="A892">
        <v>100890</v>
      </c>
      <c r="B892" t="s">
        <v>18</v>
      </c>
      <c r="C892" t="s">
        <v>14</v>
      </c>
      <c r="D892" t="s">
        <v>24</v>
      </c>
      <c r="E892" s="1">
        <v>45452</v>
      </c>
      <c r="F892" s="4">
        <v>22763</v>
      </c>
      <c r="G892" s="4">
        <v>460744</v>
      </c>
      <c r="H892" s="2">
        <v>4733</v>
      </c>
      <c r="I892" s="16">
        <v>10</v>
      </c>
      <c r="J892" s="1">
        <v>45462</v>
      </c>
      <c r="K892" s="3">
        <v>4.9399999999999999E-2</v>
      </c>
      <c r="L892" s="13">
        <f t="shared" si="29"/>
        <v>10.27251575712326</v>
      </c>
      <c r="M892" s="16">
        <f t="shared" si="30"/>
        <v>2276.3000000000002</v>
      </c>
    </row>
    <row r="893" spans="1:13" x14ac:dyDescent="0.3">
      <c r="A893">
        <v>100891</v>
      </c>
      <c r="B893" t="s">
        <v>19</v>
      </c>
      <c r="C893" t="s">
        <v>25</v>
      </c>
      <c r="D893" t="s">
        <v>17</v>
      </c>
      <c r="E893" s="1">
        <v>45453</v>
      </c>
      <c r="F893" s="4">
        <v>3762</v>
      </c>
      <c r="G893" s="4">
        <v>814428</v>
      </c>
      <c r="H893" s="2">
        <v>1758</v>
      </c>
      <c r="I893" s="16">
        <v>20</v>
      </c>
      <c r="J893" s="1">
        <v>45473</v>
      </c>
      <c r="K893" s="3">
        <v>4.5999999999999999E-3</v>
      </c>
      <c r="L893" s="13">
        <f t="shared" si="29"/>
        <v>2.158570186683169</v>
      </c>
      <c r="M893" s="16">
        <f t="shared" si="30"/>
        <v>188.1</v>
      </c>
    </row>
    <row r="894" spans="1:13" x14ac:dyDescent="0.3">
      <c r="A894">
        <v>100892</v>
      </c>
      <c r="B894" t="s">
        <v>18</v>
      </c>
      <c r="C894" t="s">
        <v>21</v>
      </c>
      <c r="D894" t="s">
        <v>17</v>
      </c>
      <c r="E894" s="1">
        <v>45454</v>
      </c>
      <c r="F894" s="4">
        <v>44300</v>
      </c>
      <c r="G894" s="4">
        <v>365165</v>
      </c>
      <c r="H894" s="2">
        <v>394</v>
      </c>
      <c r="I894" s="16">
        <v>29</v>
      </c>
      <c r="J894" s="1">
        <v>45483</v>
      </c>
      <c r="K894" s="3">
        <v>0.12130000000000001</v>
      </c>
      <c r="L894" s="13">
        <f t="shared" si="29"/>
        <v>1.0789643038078678</v>
      </c>
      <c r="M894" s="16">
        <f t="shared" si="30"/>
        <v>1527.5862068965516</v>
      </c>
    </row>
    <row r="895" spans="1:13" x14ac:dyDescent="0.3">
      <c r="A895">
        <v>100893</v>
      </c>
      <c r="B895" t="s">
        <v>18</v>
      </c>
      <c r="C895" t="s">
        <v>21</v>
      </c>
      <c r="D895" t="s">
        <v>22</v>
      </c>
      <c r="E895" s="1">
        <v>45455</v>
      </c>
      <c r="F895" s="4">
        <v>69961</v>
      </c>
      <c r="G895" s="4">
        <v>758182</v>
      </c>
      <c r="H895" s="2">
        <v>1421</v>
      </c>
      <c r="I895" s="16">
        <v>17</v>
      </c>
      <c r="J895" s="1">
        <v>45472</v>
      </c>
      <c r="K895" s="3">
        <v>9.2299999999999993E-2</v>
      </c>
      <c r="L895" s="13">
        <f t="shared" si="29"/>
        <v>1.8742201740479201</v>
      </c>
      <c r="M895" s="16">
        <f t="shared" si="30"/>
        <v>4115.3529411764703</v>
      </c>
    </row>
    <row r="896" spans="1:13" x14ac:dyDescent="0.3">
      <c r="A896">
        <v>100894</v>
      </c>
      <c r="B896" t="s">
        <v>10</v>
      </c>
      <c r="C896" t="s">
        <v>20</v>
      </c>
      <c r="D896" t="s">
        <v>12</v>
      </c>
      <c r="E896" s="1">
        <v>45456</v>
      </c>
      <c r="F896" s="4">
        <v>9309</v>
      </c>
      <c r="G896" s="4">
        <v>355640</v>
      </c>
      <c r="H896" s="2">
        <v>3543</v>
      </c>
      <c r="I896" s="16">
        <v>20</v>
      </c>
      <c r="J896" s="1">
        <v>45476</v>
      </c>
      <c r="K896" s="3">
        <v>2.6200000000000001E-2</v>
      </c>
      <c r="L896" s="13">
        <f t="shared" si="29"/>
        <v>9.9623214486559437</v>
      </c>
      <c r="M896" s="16">
        <f t="shared" si="30"/>
        <v>465.45</v>
      </c>
    </row>
    <row r="897" spans="1:13" x14ac:dyDescent="0.3">
      <c r="A897">
        <v>100895</v>
      </c>
      <c r="B897" t="s">
        <v>10</v>
      </c>
      <c r="C897" t="s">
        <v>21</v>
      </c>
      <c r="D897" t="s">
        <v>22</v>
      </c>
      <c r="E897" s="1">
        <v>45457</v>
      </c>
      <c r="F897" s="4">
        <v>6709</v>
      </c>
      <c r="G897" s="4">
        <v>169997</v>
      </c>
      <c r="H897" s="2">
        <v>2409</v>
      </c>
      <c r="I897" s="16">
        <v>1</v>
      </c>
      <c r="J897" s="1">
        <v>45458</v>
      </c>
      <c r="K897" s="3">
        <v>3.95E-2</v>
      </c>
      <c r="L897" s="13">
        <f t="shared" si="29"/>
        <v>14.170838308911334</v>
      </c>
      <c r="M897" s="16">
        <f t="shared" si="30"/>
        <v>6709</v>
      </c>
    </row>
    <row r="898" spans="1:13" x14ac:dyDescent="0.3">
      <c r="A898">
        <v>100896</v>
      </c>
      <c r="B898" t="s">
        <v>18</v>
      </c>
      <c r="C898" t="s">
        <v>21</v>
      </c>
      <c r="D898" t="s">
        <v>12</v>
      </c>
      <c r="E898" s="1">
        <v>45458</v>
      </c>
      <c r="F898" s="4">
        <v>4271</v>
      </c>
      <c r="G898" s="4">
        <v>832812</v>
      </c>
      <c r="H898" s="2">
        <v>1342</v>
      </c>
      <c r="I898" s="16">
        <v>24</v>
      </c>
      <c r="J898" s="1">
        <v>45482</v>
      </c>
      <c r="K898" s="3">
        <v>5.1000000000000004E-3</v>
      </c>
      <c r="L898" s="13">
        <f t="shared" ref="L898:L961" si="31">H898/G898*1000</f>
        <v>1.6114080969054239</v>
      </c>
      <c r="M898" s="16">
        <f t="shared" ref="M898:M961" si="32">IFERROR(F898/I898,"No Data")</f>
        <v>177.95833333333334</v>
      </c>
    </row>
    <row r="899" spans="1:13" x14ac:dyDescent="0.3">
      <c r="A899">
        <v>100897</v>
      </c>
      <c r="B899" t="s">
        <v>18</v>
      </c>
      <c r="C899" t="s">
        <v>25</v>
      </c>
      <c r="D899" t="s">
        <v>17</v>
      </c>
      <c r="E899" s="1">
        <v>45459</v>
      </c>
      <c r="F899" s="4">
        <v>65423</v>
      </c>
      <c r="G899" s="4">
        <v>363530</v>
      </c>
      <c r="H899" s="2">
        <v>3255</v>
      </c>
      <c r="I899" s="16">
        <v>22</v>
      </c>
      <c r="J899" s="1">
        <v>45481</v>
      </c>
      <c r="K899" s="3">
        <v>0.18</v>
      </c>
      <c r="L899" s="13">
        <f t="shared" si="31"/>
        <v>8.9538690066844548</v>
      </c>
      <c r="M899" s="16">
        <f t="shared" si="32"/>
        <v>2973.7727272727275</v>
      </c>
    </row>
    <row r="900" spans="1:13" x14ac:dyDescent="0.3">
      <c r="A900">
        <v>100898</v>
      </c>
      <c r="B900" t="s">
        <v>18</v>
      </c>
      <c r="C900" t="s">
        <v>11</v>
      </c>
      <c r="D900" t="s">
        <v>12</v>
      </c>
      <c r="E900" s="1">
        <v>45460</v>
      </c>
      <c r="F900" s="4">
        <v>38168</v>
      </c>
      <c r="G900" s="4">
        <v>432390</v>
      </c>
      <c r="H900" s="2">
        <v>2799</v>
      </c>
      <c r="I900" s="16">
        <v>18</v>
      </c>
      <c r="J900" s="1">
        <v>45478</v>
      </c>
      <c r="K900" s="3">
        <v>8.8300000000000003E-2</v>
      </c>
      <c r="L900" s="13">
        <f t="shared" si="31"/>
        <v>6.4733226947894265</v>
      </c>
      <c r="M900" s="16">
        <f t="shared" si="32"/>
        <v>2120.4444444444443</v>
      </c>
    </row>
    <row r="901" spans="1:13" x14ac:dyDescent="0.3">
      <c r="A901">
        <v>100899</v>
      </c>
      <c r="B901" t="s">
        <v>13</v>
      </c>
      <c r="C901" t="s">
        <v>14</v>
      </c>
      <c r="D901" t="s">
        <v>17</v>
      </c>
      <c r="E901" s="1">
        <v>45461</v>
      </c>
      <c r="F901" s="4">
        <v>96783</v>
      </c>
      <c r="G901" s="4">
        <v>84870</v>
      </c>
      <c r="H901" s="2">
        <v>738</v>
      </c>
      <c r="I901" s="16">
        <v>1</v>
      </c>
      <c r="J901" s="1">
        <v>45462</v>
      </c>
      <c r="K901" s="3">
        <v>1.1404000000000001</v>
      </c>
      <c r="L901" s="13">
        <f t="shared" si="31"/>
        <v>8.695652173913043</v>
      </c>
      <c r="M901" s="16">
        <f t="shared" si="32"/>
        <v>96783</v>
      </c>
    </row>
    <row r="902" spans="1:13" x14ac:dyDescent="0.3">
      <c r="A902">
        <v>100900</v>
      </c>
      <c r="B902" t="s">
        <v>13</v>
      </c>
      <c r="C902" t="s">
        <v>16</v>
      </c>
      <c r="D902" t="s">
        <v>12</v>
      </c>
      <c r="E902" s="1">
        <v>45462</v>
      </c>
      <c r="F902" s="4">
        <v>79677</v>
      </c>
      <c r="G902" s="4">
        <v>971547</v>
      </c>
      <c r="H902" s="2">
        <v>53</v>
      </c>
      <c r="I902" s="16">
        <v>5</v>
      </c>
      <c r="J902" s="1">
        <v>45467</v>
      </c>
      <c r="K902" s="3">
        <v>8.2000000000000003E-2</v>
      </c>
      <c r="L902" s="13">
        <f t="shared" si="31"/>
        <v>5.4552172977735514E-2</v>
      </c>
      <c r="M902" s="16">
        <f t="shared" si="32"/>
        <v>15935.4</v>
      </c>
    </row>
    <row r="903" spans="1:13" x14ac:dyDescent="0.3">
      <c r="A903">
        <v>100901</v>
      </c>
      <c r="B903" t="s">
        <v>18</v>
      </c>
      <c r="C903" t="s">
        <v>20</v>
      </c>
      <c r="D903" t="s">
        <v>12</v>
      </c>
      <c r="E903" s="1">
        <v>45463</v>
      </c>
      <c r="F903" s="4">
        <v>59219</v>
      </c>
      <c r="G903" s="4">
        <v>486773</v>
      </c>
      <c r="H903" s="2">
        <v>618</v>
      </c>
      <c r="I903" s="16">
        <v>7</v>
      </c>
      <c r="J903" s="1">
        <v>45470</v>
      </c>
      <c r="K903" s="3">
        <v>0.1217</v>
      </c>
      <c r="L903" s="13">
        <f t="shared" si="31"/>
        <v>1.2695856179369027</v>
      </c>
      <c r="M903" s="16">
        <f t="shared" si="32"/>
        <v>8459.8571428571431</v>
      </c>
    </row>
    <row r="904" spans="1:13" x14ac:dyDescent="0.3">
      <c r="A904">
        <v>100902</v>
      </c>
      <c r="B904" t="s">
        <v>18</v>
      </c>
      <c r="C904" t="s">
        <v>25</v>
      </c>
      <c r="D904" t="s">
        <v>22</v>
      </c>
      <c r="E904" s="1">
        <v>45464</v>
      </c>
      <c r="F904" s="4">
        <v>58989</v>
      </c>
      <c r="G904" s="4">
        <v>845793</v>
      </c>
      <c r="H904" s="2">
        <v>4769</v>
      </c>
      <c r="I904" s="16">
        <v>13</v>
      </c>
      <c r="J904" s="1">
        <v>45477</v>
      </c>
      <c r="K904" s="3">
        <v>6.9699999999999998E-2</v>
      </c>
      <c r="L904" s="13">
        <f t="shared" si="31"/>
        <v>5.6384954711140907</v>
      </c>
      <c r="M904" s="16">
        <f t="shared" si="32"/>
        <v>4537.6153846153848</v>
      </c>
    </row>
    <row r="905" spans="1:13" x14ac:dyDescent="0.3">
      <c r="A905">
        <v>100903</v>
      </c>
      <c r="B905" t="s">
        <v>13</v>
      </c>
      <c r="C905" t="s">
        <v>20</v>
      </c>
      <c r="D905" t="s">
        <v>15</v>
      </c>
      <c r="E905" s="1">
        <v>45465</v>
      </c>
      <c r="F905" s="4">
        <v>56480</v>
      </c>
      <c r="G905" s="4">
        <v>250018</v>
      </c>
      <c r="H905" s="2">
        <v>107</v>
      </c>
      <c r="I905" s="16">
        <v>13</v>
      </c>
      <c r="J905" s="1">
        <v>45478</v>
      </c>
      <c r="K905" s="3">
        <v>0.22589999999999999</v>
      </c>
      <c r="L905" s="13">
        <f t="shared" si="31"/>
        <v>0.42796918621859226</v>
      </c>
      <c r="M905" s="16">
        <f t="shared" si="32"/>
        <v>4344.6153846153848</v>
      </c>
    </row>
    <row r="906" spans="1:13" x14ac:dyDescent="0.3">
      <c r="A906">
        <v>100904</v>
      </c>
      <c r="B906" t="s">
        <v>19</v>
      </c>
      <c r="C906" t="s">
        <v>11</v>
      </c>
      <c r="D906" t="s">
        <v>22</v>
      </c>
      <c r="E906" s="1">
        <v>45466</v>
      </c>
      <c r="F906" s="4">
        <v>33260</v>
      </c>
      <c r="G906" s="4">
        <v>986239</v>
      </c>
      <c r="H906" s="2">
        <v>2272</v>
      </c>
      <c r="I906" s="16">
        <v>10</v>
      </c>
      <c r="J906" s="1">
        <v>45476</v>
      </c>
      <c r="K906" s="3">
        <v>3.3700000000000001E-2</v>
      </c>
      <c r="L906" s="13">
        <f t="shared" si="31"/>
        <v>2.3037012326626707</v>
      </c>
      <c r="M906" s="16">
        <f t="shared" si="32"/>
        <v>3326</v>
      </c>
    </row>
    <row r="907" spans="1:13" x14ac:dyDescent="0.3">
      <c r="A907">
        <v>100905</v>
      </c>
      <c r="B907" t="s">
        <v>13</v>
      </c>
      <c r="C907" t="s">
        <v>16</v>
      </c>
      <c r="D907" t="s">
        <v>17</v>
      </c>
      <c r="E907" s="1">
        <v>45467</v>
      </c>
      <c r="F907" s="4">
        <v>79757</v>
      </c>
      <c r="G907" s="4">
        <v>195407</v>
      </c>
      <c r="H907" s="2">
        <v>1680</v>
      </c>
      <c r="I907" s="16">
        <v>22</v>
      </c>
      <c r="J907" s="1">
        <v>45489</v>
      </c>
      <c r="K907" s="3">
        <v>0.40820000000000001</v>
      </c>
      <c r="L907" s="13">
        <f t="shared" si="31"/>
        <v>8.5974402145266033</v>
      </c>
      <c r="M907" s="16">
        <f t="shared" si="32"/>
        <v>3625.318181818182</v>
      </c>
    </row>
    <row r="908" spans="1:13" x14ac:dyDescent="0.3">
      <c r="A908">
        <v>100906</v>
      </c>
      <c r="B908" t="s">
        <v>13</v>
      </c>
      <c r="C908" t="s">
        <v>11</v>
      </c>
      <c r="D908" t="s">
        <v>17</v>
      </c>
      <c r="E908" s="1">
        <v>45468</v>
      </c>
      <c r="F908" s="4">
        <v>76418</v>
      </c>
      <c r="G908" s="4">
        <v>344209</v>
      </c>
      <c r="H908" s="2">
        <v>419</v>
      </c>
      <c r="I908" s="16">
        <v>18</v>
      </c>
      <c r="J908" s="1">
        <v>45486</v>
      </c>
      <c r="K908" s="3">
        <v>0.222</v>
      </c>
      <c r="L908" s="13">
        <f t="shared" si="31"/>
        <v>1.2172836852028854</v>
      </c>
      <c r="M908" s="16">
        <f t="shared" si="32"/>
        <v>4245.4444444444443</v>
      </c>
    </row>
    <row r="909" spans="1:13" x14ac:dyDescent="0.3">
      <c r="A909">
        <v>100907</v>
      </c>
      <c r="B909" t="s">
        <v>18</v>
      </c>
      <c r="C909" t="s">
        <v>21</v>
      </c>
      <c r="D909" t="s">
        <v>17</v>
      </c>
      <c r="E909" s="1">
        <v>45469</v>
      </c>
      <c r="F909" s="4">
        <v>60596</v>
      </c>
      <c r="G909" s="4">
        <v>828327</v>
      </c>
      <c r="H909" s="2">
        <v>2325</v>
      </c>
      <c r="I909" s="16">
        <v>23</v>
      </c>
      <c r="J909" s="1">
        <v>45492</v>
      </c>
      <c r="K909" s="3">
        <v>7.3200000000000001E-2</v>
      </c>
      <c r="L909" s="13">
        <f t="shared" si="31"/>
        <v>2.806862507198244</v>
      </c>
      <c r="M909" s="16">
        <f t="shared" si="32"/>
        <v>2634.608695652174</v>
      </c>
    </row>
    <row r="910" spans="1:13" x14ac:dyDescent="0.3">
      <c r="A910">
        <v>100908</v>
      </c>
      <c r="B910" t="s">
        <v>18</v>
      </c>
      <c r="C910" t="s">
        <v>25</v>
      </c>
      <c r="D910" t="s">
        <v>15</v>
      </c>
      <c r="E910" s="1">
        <v>45470</v>
      </c>
      <c r="F910" s="4">
        <v>57079</v>
      </c>
      <c r="G910" s="4">
        <v>161545</v>
      </c>
      <c r="H910" s="2">
        <v>3949</v>
      </c>
      <c r="I910" s="16">
        <v>28</v>
      </c>
      <c r="J910" s="1">
        <v>45498</v>
      </c>
      <c r="K910" s="3">
        <v>0.3533</v>
      </c>
      <c r="L910" s="13">
        <f t="shared" si="31"/>
        <v>24.445201027577454</v>
      </c>
      <c r="M910" s="16">
        <f t="shared" si="32"/>
        <v>2038.5357142857142</v>
      </c>
    </row>
    <row r="911" spans="1:13" x14ac:dyDescent="0.3">
      <c r="A911">
        <v>100909</v>
      </c>
      <c r="B911" t="s">
        <v>18</v>
      </c>
      <c r="C911" t="s">
        <v>23</v>
      </c>
      <c r="D911" t="s">
        <v>15</v>
      </c>
      <c r="E911" s="1">
        <v>45471</v>
      </c>
      <c r="F911" s="4">
        <v>40035</v>
      </c>
      <c r="G911" s="4">
        <v>820742</v>
      </c>
      <c r="H911" s="2">
        <v>4858</v>
      </c>
      <c r="I911" s="16">
        <v>22</v>
      </c>
      <c r="J911" s="1">
        <v>45493</v>
      </c>
      <c r="K911" s="3">
        <v>4.8800000000000003E-2</v>
      </c>
      <c r="L911" s="13">
        <f t="shared" si="31"/>
        <v>5.9190342397489104</v>
      </c>
      <c r="M911" s="16">
        <f t="shared" si="32"/>
        <v>1819.7727272727273</v>
      </c>
    </row>
    <row r="912" spans="1:13" x14ac:dyDescent="0.3">
      <c r="A912">
        <v>100910</v>
      </c>
      <c r="B912" t="s">
        <v>10</v>
      </c>
      <c r="C912" t="s">
        <v>20</v>
      </c>
      <c r="D912" t="s">
        <v>17</v>
      </c>
      <c r="E912" s="1">
        <v>45472</v>
      </c>
      <c r="F912" s="4">
        <v>84720</v>
      </c>
      <c r="G912" s="4">
        <v>962717</v>
      </c>
      <c r="H912" s="2">
        <v>3501</v>
      </c>
      <c r="I912" s="16">
        <v>19</v>
      </c>
      <c r="J912" s="1">
        <v>45491</v>
      </c>
      <c r="K912" s="3">
        <v>8.7999999999999995E-2</v>
      </c>
      <c r="L912" s="13">
        <f t="shared" si="31"/>
        <v>3.6365827132999629</v>
      </c>
      <c r="M912" s="16">
        <f t="shared" si="32"/>
        <v>4458.9473684210525</v>
      </c>
    </row>
    <row r="913" spans="1:13" x14ac:dyDescent="0.3">
      <c r="A913">
        <v>100911</v>
      </c>
      <c r="B913" t="s">
        <v>10</v>
      </c>
      <c r="C913" t="s">
        <v>25</v>
      </c>
      <c r="D913" t="s">
        <v>22</v>
      </c>
      <c r="E913" s="1">
        <v>45473</v>
      </c>
      <c r="F913" s="4">
        <v>3280</v>
      </c>
      <c r="G913" s="4">
        <v>664996</v>
      </c>
      <c r="H913" s="2">
        <v>1074</v>
      </c>
      <c r="I913" s="16">
        <v>12</v>
      </c>
      <c r="J913" s="1">
        <v>45485</v>
      </c>
      <c r="K913" s="3">
        <v>4.8999999999999998E-3</v>
      </c>
      <c r="L913" s="13">
        <f t="shared" si="31"/>
        <v>1.6150473085552395</v>
      </c>
      <c r="M913" s="16">
        <f t="shared" si="32"/>
        <v>273.33333333333331</v>
      </c>
    </row>
    <row r="914" spans="1:13" x14ac:dyDescent="0.3">
      <c r="A914">
        <v>100912</v>
      </c>
      <c r="B914" t="s">
        <v>19</v>
      </c>
      <c r="C914" t="s">
        <v>21</v>
      </c>
      <c r="D914" t="s">
        <v>17</v>
      </c>
      <c r="E914" s="1">
        <v>45474</v>
      </c>
      <c r="F914" s="4">
        <v>52825</v>
      </c>
      <c r="G914" s="4">
        <v>987501</v>
      </c>
      <c r="H914" s="2">
        <v>4768</v>
      </c>
      <c r="I914" s="16">
        <v>6</v>
      </c>
      <c r="J914" s="1">
        <v>45480</v>
      </c>
      <c r="K914" s="3">
        <v>5.3499999999999999E-2</v>
      </c>
      <c r="L914" s="13">
        <f t="shared" si="31"/>
        <v>4.8283495409118569</v>
      </c>
      <c r="M914" s="16">
        <f t="shared" si="32"/>
        <v>8804.1666666666661</v>
      </c>
    </row>
    <row r="915" spans="1:13" x14ac:dyDescent="0.3">
      <c r="A915">
        <v>100913</v>
      </c>
      <c r="B915" t="s">
        <v>19</v>
      </c>
      <c r="C915" t="s">
        <v>16</v>
      </c>
      <c r="D915" t="s">
        <v>17</v>
      </c>
      <c r="E915" s="1">
        <v>45475</v>
      </c>
      <c r="F915" s="4">
        <v>98283</v>
      </c>
      <c r="G915" s="4">
        <v>84939</v>
      </c>
      <c r="H915" s="2">
        <v>4028</v>
      </c>
      <c r="I915" s="16">
        <v>8</v>
      </c>
      <c r="J915" s="1">
        <v>45483</v>
      </c>
      <c r="K915" s="3">
        <v>1.1571</v>
      </c>
      <c r="L915" s="13">
        <f t="shared" si="31"/>
        <v>47.422267745087652</v>
      </c>
      <c r="M915" s="16">
        <f t="shared" si="32"/>
        <v>12285.375</v>
      </c>
    </row>
    <row r="916" spans="1:13" x14ac:dyDescent="0.3">
      <c r="A916">
        <v>100914</v>
      </c>
      <c r="B916" t="s">
        <v>19</v>
      </c>
      <c r="C916" t="s">
        <v>14</v>
      </c>
      <c r="D916" t="s">
        <v>24</v>
      </c>
      <c r="E916" s="1">
        <v>45476</v>
      </c>
      <c r="F916" s="4">
        <v>20933</v>
      </c>
      <c r="G916" s="4">
        <v>158981</v>
      </c>
      <c r="H916" s="2">
        <v>1506</v>
      </c>
      <c r="I916" s="16">
        <v>20</v>
      </c>
      <c r="J916" s="1">
        <v>45496</v>
      </c>
      <c r="K916" s="3">
        <v>0.13170000000000001</v>
      </c>
      <c r="L916" s="13">
        <f t="shared" si="31"/>
        <v>9.472830086614124</v>
      </c>
      <c r="M916" s="16">
        <f t="shared" si="32"/>
        <v>1046.6500000000001</v>
      </c>
    </row>
    <row r="917" spans="1:13" x14ac:dyDescent="0.3">
      <c r="A917">
        <v>100915</v>
      </c>
      <c r="B917" t="s">
        <v>19</v>
      </c>
      <c r="C917" t="s">
        <v>11</v>
      </c>
      <c r="D917" t="s">
        <v>24</v>
      </c>
      <c r="E917" s="1">
        <v>45477</v>
      </c>
      <c r="F917" s="4">
        <v>80289</v>
      </c>
      <c r="G917" s="4">
        <v>273306</v>
      </c>
      <c r="H917" s="2">
        <v>1505</v>
      </c>
      <c r="I917" s="16">
        <v>10</v>
      </c>
      <c r="J917" s="1">
        <v>45487</v>
      </c>
      <c r="K917" s="3">
        <v>0.29380000000000001</v>
      </c>
      <c r="L917" s="13">
        <f t="shared" si="31"/>
        <v>5.5066482257981892</v>
      </c>
      <c r="M917" s="16">
        <f t="shared" si="32"/>
        <v>8028.9</v>
      </c>
    </row>
    <row r="918" spans="1:13" x14ac:dyDescent="0.3">
      <c r="A918">
        <v>100916</v>
      </c>
      <c r="B918" t="s">
        <v>18</v>
      </c>
      <c r="C918" t="s">
        <v>14</v>
      </c>
      <c r="D918" t="s">
        <v>12</v>
      </c>
      <c r="E918" s="1">
        <v>45478</v>
      </c>
      <c r="F918" s="4">
        <v>96220</v>
      </c>
      <c r="G918" s="4">
        <v>970982</v>
      </c>
      <c r="H918" s="2">
        <v>960</v>
      </c>
      <c r="I918" s="16">
        <v>23</v>
      </c>
      <c r="J918" s="1">
        <v>45501</v>
      </c>
      <c r="K918" s="3">
        <v>9.9099999999999994E-2</v>
      </c>
      <c r="L918" s="13">
        <f t="shared" si="31"/>
        <v>0.98868980063482126</v>
      </c>
      <c r="M918" s="16">
        <f t="shared" si="32"/>
        <v>4183.478260869565</v>
      </c>
    </row>
    <row r="919" spans="1:13" x14ac:dyDescent="0.3">
      <c r="A919">
        <v>100917</v>
      </c>
      <c r="B919" t="s">
        <v>18</v>
      </c>
      <c r="C919" t="s">
        <v>11</v>
      </c>
      <c r="D919" t="s">
        <v>24</v>
      </c>
      <c r="E919" s="1">
        <v>45479</v>
      </c>
      <c r="F919" s="4">
        <v>46514</v>
      </c>
      <c r="G919" s="4">
        <v>290732</v>
      </c>
      <c r="H919" s="2">
        <v>1043</v>
      </c>
      <c r="I919" s="16">
        <v>12</v>
      </c>
      <c r="J919" s="1">
        <v>45491</v>
      </c>
      <c r="K919" s="3">
        <v>0.16</v>
      </c>
      <c r="L919" s="13">
        <f t="shared" si="31"/>
        <v>3.5874963884264544</v>
      </c>
      <c r="M919" s="16">
        <f t="shared" si="32"/>
        <v>3876.1666666666665</v>
      </c>
    </row>
    <row r="920" spans="1:13" x14ac:dyDescent="0.3">
      <c r="A920">
        <v>100918</v>
      </c>
      <c r="B920" t="s">
        <v>18</v>
      </c>
      <c r="C920" t="s">
        <v>20</v>
      </c>
      <c r="D920" t="s">
        <v>24</v>
      </c>
      <c r="E920" s="1">
        <v>45480</v>
      </c>
      <c r="F920" s="4">
        <v>54995</v>
      </c>
      <c r="G920" s="4">
        <v>841989</v>
      </c>
      <c r="H920" s="2">
        <v>1661</v>
      </c>
      <c r="I920" s="16">
        <v>9</v>
      </c>
      <c r="J920" s="1">
        <v>45489</v>
      </c>
      <c r="K920" s="3">
        <v>6.5299999999999997E-2</v>
      </c>
      <c r="L920" s="13">
        <f t="shared" si="31"/>
        <v>1.9727098572546675</v>
      </c>
      <c r="M920" s="16">
        <f t="shared" si="32"/>
        <v>6110.5555555555557</v>
      </c>
    </row>
    <row r="921" spans="1:13" x14ac:dyDescent="0.3">
      <c r="A921">
        <v>100919</v>
      </c>
      <c r="B921" t="s">
        <v>13</v>
      </c>
      <c r="C921" t="s">
        <v>16</v>
      </c>
      <c r="D921" t="s">
        <v>15</v>
      </c>
      <c r="E921" s="1">
        <v>45481</v>
      </c>
      <c r="F921" s="4">
        <v>22055</v>
      </c>
      <c r="G921" s="4">
        <v>624188</v>
      </c>
      <c r="H921" s="2">
        <v>3427</v>
      </c>
      <c r="I921" s="16">
        <v>19</v>
      </c>
      <c r="J921" s="1">
        <v>45500</v>
      </c>
      <c r="K921" s="3">
        <v>3.5299999999999998E-2</v>
      </c>
      <c r="L921" s="13">
        <f t="shared" si="31"/>
        <v>5.4903330406864592</v>
      </c>
      <c r="M921" s="16">
        <f t="shared" si="32"/>
        <v>1160.7894736842106</v>
      </c>
    </row>
    <row r="922" spans="1:13" x14ac:dyDescent="0.3">
      <c r="A922">
        <v>100920</v>
      </c>
      <c r="B922" t="s">
        <v>18</v>
      </c>
      <c r="C922" t="s">
        <v>11</v>
      </c>
      <c r="D922" t="s">
        <v>12</v>
      </c>
      <c r="E922" s="1">
        <v>45482</v>
      </c>
      <c r="F922" s="4">
        <v>89086</v>
      </c>
      <c r="G922" s="4">
        <v>618968</v>
      </c>
      <c r="H922" s="2">
        <v>4317</v>
      </c>
      <c r="I922" s="16">
        <v>18</v>
      </c>
      <c r="J922" s="1">
        <v>45500</v>
      </c>
      <c r="K922" s="3">
        <v>0.1439</v>
      </c>
      <c r="L922" s="13">
        <f t="shared" si="31"/>
        <v>6.9745124142120432</v>
      </c>
      <c r="M922" s="16">
        <f t="shared" si="32"/>
        <v>4949.2222222222226</v>
      </c>
    </row>
    <row r="923" spans="1:13" x14ac:dyDescent="0.3">
      <c r="A923">
        <v>100921</v>
      </c>
      <c r="B923" t="s">
        <v>10</v>
      </c>
      <c r="C923" t="s">
        <v>20</v>
      </c>
      <c r="D923" t="s">
        <v>12</v>
      </c>
      <c r="E923" s="1">
        <v>45483</v>
      </c>
      <c r="F923" s="4">
        <v>89710</v>
      </c>
      <c r="G923" s="4">
        <v>400715</v>
      </c>
      <c r="H923" s="2">
        <v>4234</v>
      </c>
      <c r="I923" s="16">
        <v>23</v>
      </c>
      <c r="J923" s="1">
        <v>45506</v>
      </c>
      <c r="K923" s="3">
        <v>0.22389999999999999</v>
      </c>
      <c r="L923" s="13">
        <f t="shared" si="31"/>
        <v>10.566113072882223</v>
      </c>
      <c r="M923" s="16">
        <f t="shared" si="32"/>
        <v>3900.4347826086955</v>
      </c>
    </row>
    <row r="924" spans="1:13" x14ac:dyDescent="0.3">
      <c r="A924">
        <v>100922</v>
      </c>
      <c r="B924" t="s">
        <v>13</v>
      </c>
      <c r="C924" t="s">
        <v>14</v>
      </c>
      <c r="D924" t="s">
        <v>15</v>
      </c>
      <c r="E924" s="1">
        <v>45484</v>
      </c>
      <c r="F924" s="4">
        <v>65907</v>
      </c>
      <c r="G924" s="4">
        <v>491545</v>
      </c>
      <c r="H924" s="2">
        <v>4143</v>
      </c>
      <c r="I924" s="16">
        <v>9</v>
      </c>
      <c r="J924" s="1">
        <v>45493</v>
      </c>
      <c r="K924" s="3">
        <v>0.1341</v>
      </c>
      <c r="L924" s="13">
        <f t="shared" si="31"/>
        <v>8.4285263811044757</v>
      </c>
      <c r="M924" s="16">
        <f t="shared" si="32"/>
        <v>7323</v>
      </c>
    </row>
    <row r="925" spans="1:13" x14ac:dyDescent="0.3">
      <c r="A925">
        <v>100923</v>
      </c>
      <c r="B925" t="s">
        <v>13</v>
      </c>
      <c r="C925" t="s">
        <v>16</v>
      </c>
      <c r="D925" t="s">
        <v>24</v>
      </c>
      <c r="E925" s="1">
        <v>45485</v>
      </c>
      <c r="F925" s="4">
        <v>14524</v>
      </c>
      <c r="G925" s="4">
        <v>340308</v>
      </c>
      <c r="H925" s="2">
        <v>3091</v>
      </c>
      <c r="I925" s="16">
        <v>13</v>
      </c>
      <c r="J925" s="1">
        <v>45498</v>
      </c>
      <c r="K925" s="3">
        <v>4.2700000000000002E-2</v>
      </c>
      <c r="L925" s="13">
        <f t="shared" si="31"/>
        <v>9.0829483879309318</v>
      </c>
      <c r="M925" s="16">
        <f t="shared" si="32"/>
        <v>1117.2307692307693</v>
      </c>
    </row>
    <row r="926" spans="1:13" x14ac:dyDescent="0.3">
      <c r="A926">
        <v>100924</v>
      </c>
      <c r="B926" t="s">
        <v>18</v>
      </c>
      <c r="C926" t="s">
        <v>21</v>
      </c>
      <c r="D926" t="s">
        <v>17</v>
      </c>
      <c r="E926" s="1">
        <v>45486</v>
      </c>
      <c r="F926" s="4">
        <v>11541</v>
      </c>
      <c r="G926" s="4">
        <v>700230</v>
      </c>
      <c r="H926" s="2">
        <v>1320</v>
      </c>
      <c r="I926" s="16">
        <v>18</v>
      </c>
      <c r="J926" s="1">
        <v>45504</v>
      </c>
      <c r="K926" s="3">
        <v>1.6500000000000001E-2</v>
      </c>
      <c r="L926" s="13">
        <f t="shared" si="31"/>
        <v>1.8850948973908572</v>
      </c>
      <c r="M926" s="16">
        <f t="shared" si="32"/>
        <v>641.16666666666663</v>
      </c>
    </row>
    <row r="927" spans="1:13" x14ac:dyDescent="0.3">
      <c r="A927">
        <v>100925</v>
      </c>
      <c r="B927" t="s">
        <v>18</v>
      </c>
      <c r="C927" t="s">
        <v>23</v>
      </c>
      <c r="D927" t="s">
        <v>15</v>
      </c>
      <c r="E927" s="1">
        <v>45487</v>
      </c>
      <c r="F927" s="4">
        <v>17455</v>
      </c>
      <c r="G927" s="4">
        <v>476598</v>
      </c>
      <c r="H927" s="2">
        <v>1257</v>
      </c>
      <c r="I927" s="16">
        <v>15</v>
      </c>
      <c r="J927" s="1">
        <v>45502</v>
      </c>
      <c r="K927" s="3">
        <v>3.6600000000000001E-2</v>
      </c>
      <c r="L927" s="13">
        <f t="shared" si="31"/>
        <v>2.6374428763863884</v>
      </c>
      <c r="M927" s="16">
        <f t="shared" si="32"/>
        <v>1163.6666666666667</v>
      </c>
    </row>
    <row r="928" spans="1:13" x14ac:dyDescent="0.3">
      <c r="A928">
        <v>100926</v>
      </c>
      <c r="B928" t="s">
        <v>18</v>
      </c>
      <c r="C928" t="s">
        <v>21</v>
      </c>
      <c r="D928" t="s">
        <v>22</v>
      </c>
      <c r="E928" s="1">
        <v>45488</v>
      </c>
      <c r="F928" s="4">
        <v>28089</v>
      </c>
      <c r="G928" s="4">
        <v>678970</v>
      </c>
      <c r="H928" s="2">
        <v>932</v>
      </c>
      <c r="I928" s="16">
        <v>27</v>
      </c>
      <c r="J928" s="1">
        <v>45515</v>
      </c>
      <c r="K928" s="3">
        <v>4.1399999999999999E-2</v>
      </c>
      <c r="L928" s="13">
        <f t="shared" si="31"/>
        <v>1.3726674227138165</v>
      </c>
      <c r="M928" s="16">
        <f t="shared" si="32"/>
        <v>1040.3333333333333</v>
      </c>
    </row>
    <row r="929" spans="1:13" x14ac:dyDescent="0.3">
      <c r="A929">
        <v>100927</v>
      </c>
      <c r="B929" t="s">
        <v>10</v>
      </c>
      <c r="C929" t="s">
        <v>11</v>
      </c>
      <c r="D929" t="s">
        <v>24</v>
      </c>
      <c r="E929" s="1">
        <v>45489</v>
      </c>
      <c r="F929" s="4">
        <v>43803</v>
      </c>
      <c r="G929" s="4">
        <v>651320</v>
      </c>
      <c r="H929" s="2">
        <v>611</v>
      </c>
      <c r="I929" s="16">
        <v>17</v>
      </c>
      <c r="J929" s="1">
        <v>45506</v>
      </c>
      <c r="K929" s="3">
        <v>6.7299999999999999E-2</v>
      </c>
      <c r="L929" s="13">
        <f t="shared" si="31"/>
        <v>0.93809494564883622</v>
      </c>
      <c r="M929" s="16">
        <f t="shared" si="32"/>
        <v>2576.6470588235293</v>
      </c>
    </row>
    <row r="930" spans="1:13" x14ac:dyDescent="0.3">
      <c r="A930">
        <v>100928</v>
      </c>
      <c r="B930" t="s">
        <v>13</v>
      </c>
      <c r="C930" t="s">
        <v>14</v>
      </c>
      <c r="D930" t="s">
        <v>12</v>
      </c>
      <c r="E930" s="1">
        <v>45490</v>
      </c>
      <c r="F930" s="4">
        <v>33358</v>
      </c>
      <c r="G930" s="4">
        <v>596036</v>
      </c>
      <c r="H930" s="2">
        <v>3594</v>
      </c>
      <c r="I930" s="16">
        <v>12</v>
      </c>
      <c r="J930" s="1">
        <v>45502</v>
      </c>
      <c r="K930" s="3">
        <v>5.6000000000000001E-2</v>
      </c>
      <c r="L930" s="13">
        <f t="shared" si="31"/>
        <v>6.0298371239321114</v>
      </c>
      <c r="M930" s="16">
        <f t="shared" si="32"/>
        <v>2779.8333333333335</v>
      </c>
    </row>
    <row r="931" spans="1:13" x14ac:dyDescent="0.3">
      <c r="A931">
        <v>100929</v>
      </c>
      <c r="B931" t="s">
        <v>10</v>
      </c>
      <c r="C931" t="s">
        <v>14</v>
      </c>
      <c r="D931" t="s">
        <v>12</v>
      </c>
      <c r="E931" s="1">
        <v>45491</v>
      </c>
      <c r="F931" s="4">
        <v>52595</v>
      </c>
      <c r="G931" s="4">
        <v>315279</v>
      </c>
      <c r="H931" s="2">
        <v>4036</v>
      </c>
      <c r="I931" s="16">
        <v>9</v>
      </c>
      <c r="J931" s="1">
        <v>45500</v>
      </c>
      <c r="K931" s="3">
        <v>0.1668</v>
      </c>
      <c r="L931" s="13">
        <f t="shared" si="31"/>
        <v>12.801360065212082</v>
      </c>
      <c r="M931" s="16">
        <f t="shared" si="32"/>
        <v>5843.8888888888887</v>
      </c>
    </row>
    <row r="932" spans="1:13" x14ac:dyDescent="0.3">
      <c r="A932">
        <v>100930</v>
      </c>
      <c r="B932" t="s">
        <v>18</v>
      </c>
      <c r="C932" t="s">
        <v>25</v>
      </c>
      <c r="D932" t="s">
        <v>22</v>
      </c>
      <c r="E932" s="1">
        <v>45492</v>
      </c>
      <c r="F932" s="4">
        <v>28007</v>
      </c>
      <c r="G932" s="4">
        <v>765052</v>
      </c>
      <c r="H932" s="2">
        <v>2168</v>
      </c>
      <c r="I932" s="16">
        <v>14</v>
      </c>
      <c r="J932" s="1">
        <v>45506</v>
      </c>
      <c r="K932" s="3">
        <v>3.6600000000000001E-2</v>
      </c>
      <c r="L932" s="13">
        <f t="shared" si="31"/>
        <v>2.8337943041780167</v>
      </c>
      <c r="M932" s="16">
        <f t="shared" si="32"/>
        <v>2000.5</v>
      </c>
    </row>
    <row r="933" spans="1:13" x14ac:dyDescent="0.3">
      <c r="A933">
        <v>100931</v>
      </c>
      <c r="B933" t="s">
        <v>18</v>
      </c>
      <c r="C933" t="s">
        <v>25</v>
      </c>
      <c r="D933" t="s">
        <v>24</v>
      </c>
      <c r="E933" s="1">
        <v>45493</v>
      </c>
      <c r="F933" s="4">
        <v>69451</v>
      </c>
      <c r="G933" s="4">
        <v>957623</v>
      </c>
      <c r="H933" s="2">
        <v>4765</v>
      </c>
      <c r="I933" s="16">
        <v>6</v>
      </c>
      <c r="J933" s="1">
        <v>45499</v>
      </c>
      <c r="K933" s="3">
        <v>7.2499999999999995E-2</v>
      </c>
      <c r="L933" s="13">
        <f t="shared" si="31"/>
        <v>4.9758621085750869</v>
      </c>
      <c r="M933" s="16">
        <f t="shared" si="32"/>
        <v>11575.166666666666</v>
      </c>
    </row>
    <row r="934" spans="1:13" x14ac:dyDescent="0.3">
      <c r="A934">
        <v>100932</v>
      </c>
      <c r="B934" t="s">
        <v>13</v>
      </c>
      <c r="C934" t="s">
        <v>11</v>
      </c>
      <c r="D934" t="s">
        <v>24</v>
      </c>
      <c r="E934" s="1">
        <v>45494</v>
      </c>
      <c r="F934" s="4">
        <v>65175</v>
      </c>
      <c r="G934" s="4">
        <v>720471</v>
      </c>
      <c r="H934" s="2">
        <v>563</v>
      </c>
      <c r="I934" s="16">
        <v>5</v>
      </c>
      <c r="J934" s="1">
        <v>45499</v>
      </c>
      <c r="K934" s="3">
        <v>9.0499999999999997E-2</v>
      </c>
      <c r="L934" s="13">
        <f t="shared" si="31"/>
        <v>0.78143325685558473</v>
      </c>
      <c r="M934" s="16">
        <f t="shared" si="32"/>
        <v>13035</v>
      </c>
    </row>
    <row r="935" spans="1:13" x14ac:dyDescent="0.3">
      <c r="A935">
        <v>100933</v>
      </c>
      <c r="B935" t="s">
        <v>10</v>
      </c>
      <c r="C935" t="s">
        <v>16</v>
      </c>
      <c r="D935" t="s">
        <v>24</v>
      </c>
      <c r="E935" s="1">
        <v>45495</v>
      </c>
      <c r="F935" s="4">
        <v>7802</v>
      </c>
      <c r="G935" s="4">
        <v>204265</v>
      </c>
      <c r="H935" s="2">
        <v>4682</v>
      </c>
      <c r="I935" s="16">
        <v>18</v>
      </c>
      <c r="J935" s="1">
        <v>45513</v>
      </c>
      <c r="K935" s="3">
        <v>3.8199999999999998E-2</v>
      </c>
      <c r="L935" s="13">
        <f t="shared" si="31"/>
        <v>22.921205297040608</v>
      </c>
      <c r="M935" s="16">
        <f t="shared" si="32"/>
        <v>433.44444444444446</v>
      </c>
    </row>
    <row r="936" spans="1:13" x14ac:dyDescent="0.3">
      <c r="A936">
        <v>100934</v>
      </c>
      <c r="B936" t="s">
        <v>10</v>
      </c>
      <c r="C936" t="s">
        <v>11</v>
      </c>
      <c r="D936" t="s">
        <v>15</v>
      </c>
      <c r="E936" s="1">
        <v>45496</v>
      </c>
      <c r="F936" s="4">
        <v>44694</v>
      </c>
      <c r="G936" s="4">
        <v>138520</v>
      </c>
      <c r="H936" s="2">
        <v>2280</v>
      </c>
      <c r="I936" s="16">
        <v>27</v>
      </c>
      <c r="J936" s="1">
        <v>45523</v>
      </c>
      <c r="K936" s="3">
        <v>0.32269999999999999</v>
      </c>
      <c r="L936" s="13">
        <f t="shared" si="31"/>
        <v>16.459717008374241</v>
      </c>
      <c r="M936" s="16">
        <f t="shared" si="32"/>
        <v>1655.3333333333333</v>
      </c>
    </row>
    <row r="937" spans="1:13" x14ac:dyDescent="0.3">
      <c r="A937">
        <v>100935</v>
      </c>
      <c r="B937" t="s">
        <v>18</v>
      </c>
      <c r="C937" t="s">
        <v>16</v>
      </c>
      <c r="D937" t="s">
        <v>15</v>
      </c>
      <c r="E937" s="1">
        <v>45497</v>
      </c>
      <c r="F937" s="4">
        <v>98614</v>
      </c>
      <c r="G937" s="4">
        <v>407526</v>
      </c>
      <c r="H937" s="2">
        <v>2824</v>
      </c>
      <c r="I937" s="16">
        <v>28</v>
      </c>
      <c r="J937" s="1">
        <v>45525</v>
      </c>
      <c r="K937" s="3">
        <v>0.24199999999999999</v>
      </c>
      <c r="L937" s="13">
        <f t="shared" si="31"/>
        <v>6.9296192144795663</v>
      </c>
      <c r="M937" s="16">
        <f t="shared" si="32"/>
        <v>3521.9285714285716</v>
      </c>
    </row>
    <row r="938" spans="1:13" x14ac:dyDescent="0.3">
      <c r="A938">
        <v>100936</v>
      </c>
      <c r="B938" t="s">
        <v>19</v>
      </c>
      <c r="C938" t="s">
        <v>21</v>
      </c>
      <c r="D938" t="s">
        <v>12</v>
      </c>
      <c r="E938" s="1">
        <v>45498</v>
      </c>
      <c r="F938" s="4">
        <v>79217</v>
      </c>
      <c r="G938" s="4">
        <v>575037</v>
      </c>
      <c r="H938" s="2">
        <v>3426</v>
      </c>
      <c r="I938" s="16">
        <v>7</v>
      </c>
      <c r="J938" s="1">
        <v>45505</v>
      </c>
      <c r="K938" s="3">
        <v>0.13780000000000001</v>
      </c>
      <c r="L938" s="13">
        <f t="shared" si="31"/>
        <v>5.9578774931004439</v>
      </c>
      <c r="M938" s="16">
        <f t="shared" si="32"/>
        <v>11316.714285714286</v>
      </c>
    </row>
    <row r="939" spans="1:13" x14ac:dyDescent="0.3">
      <c r="A939">
        <v>100937</v>
      </c>
      <c r="B939" t="s">
        <v>18</v>
      </c>
      <c r="C939" t="s">
        <v>16</v>
      </c>
      <c r="D939" t="s">
        <v>22</v>
      </c>
      <c r="E939" s="1">
        <v>45499</v>
      </c>
      <c r="F939" s="4">
        <v>94469</v>
      </c>
      <c r="G939" s="4">
        <v>877568</v>
      </c>
      <c r="H939" s="2">
        <v>4964</v>
      </c>
      <c r="I939" s="16">
        <v>17</v>
      </c>
      <c r="J939" s="1">
        <v>45516</v>
      </c>
      <c r="K939" s="3">
        <v>0.1076</v>
      </c>
      <c r="L939" s="13">
        <f t="shared" si="31"/>
        <v>5.656541715285881</v>
      </c>
      <c r="M939" s="16">
        <f t="shared" si="32"/>
        <v>5557</v>
      </c>
    </row>
    <row r="940" spans="1:13" x14ac:dyDescent="0.3">
      <c r="A940">
        <v>100938</v>
      </c>
      <c r="B940" t="s">
        <v>10</v>
      </c>
      <c r="C940" t="s">
        <v>20</v>
      </c>
      <c r="D940" t="s">
        <v>12</v>
      </c>
      <c r="E940" s="1">
        <v>45500</v>
      </c>
      <c r="F940" s="4">
        <v>29279</v>
      </c>
      <c r="G940" s="4">
        <v>457091</v>
      </c>
      <c r="H940" s="2">
        <v>531</v>
      </c>
      <c r="I940" s="16">
        <v>12</v>
      </c>
      <c r="J940" s="1">
        <v>45512</v>
      </c>
      <c r="K940" s="3">
        <v>6.4100000000000004E-2</v>
      </c>
      <c r="L940" s="13">
        <f t="shared" si="31"/>
        <v>1.1616942796948528</v>
      </c>
      <c r="M940" s="16">
        <f t="shared" si="32"/>
        <v>2439.9166666666665</v>
      </c>
    </row>
    <row r="941" spans="1:13" x14ac:dyDescent="0.3">
      <c r="A941">
        <v>100939</v>
      </c>
      <c r="B941" t="s">
        <v>18</v>
      </c>
      <c r="C941" t="s">
        <v>16</v>
      </c>
      <c r="D941" t="s">
        <v>12</v>
      </c>
      <c r="E941" s="1">
        <v>45501</v>
      </c>
      <c r="F941" s="4">
        <v>53699</v>
      </c>
      <c r="G941" s="4">
        <v>750206</v>
      </c>
      <c r="H941" s="2">
        <v>2471</v>
      </c>
      <c r="I941" s="16">
        <v>24</v>
      </c>
      <c r="J941" s="1">
        <v>45525</v>
      </c>
      <c r="K941" s="3">
        <v>7.1599999999999997E-2</v>
      </c>
      <c r="L941" s="13">
        <f t="shared" si="31"/>
        <v>3.2937619800428148</v>
      </c>
      <c r="M941" s="16">
        <f t="shared" si="32"/>
        <v>2237.4583333333335</v>
      </c>
    </row>
    <row r="942" spans="1:13" x14ac:dyDescent="0.3">
      <c r="A942">
        <v>100940</v>
      </c>
      <c r="B942" t="s">
        <v>18</v>
      </c>
      <c r="C942" t="s">
        <v>21</v>
      </c>
      <c r="D942" t="s">
        <v>24</v>
      </c>
      <c r="E942" s="1">
        <v>45502</v>
      </c>
      <c r="F942" s="4">
        <v>34661</v>
      </c>
      <c r="G942" s="4">
        <v>358324</v>
      </c>
      <c r="H942" s="2">
        <v>2572</v>
      </c>
      <c r="I942" s="16">
        <v>8</v>
      </c>
      <c r="J942" s="1">
        <v>45510</v>
      </c>
      <c r="K942" s="3">
        <v>9.6699999999999994E-2</v>
      </c>
      <c r="L942" s="13">
        <f t="shared" si="31"/>
        <v>7.1778613768544668</v>
      </c>
      <c r="M942" s="16">
        <f t="shared" si="32"/>
        <v>4332.625</v>
      </c>
    </row>
    <row r="943" spans="1:13" x14ac:dyDescent="0.3">
      <c r="A943">
        <v>100941</v>
      </c>
      <c r="B943" t="s">
        <v>10</v>
      </c>
      <c r="C943" t="s">
        <v>20</v>
      </c>
      <c r="D943" t="s">
        <v>12</v>
      </c>
      <c r="E943" s="1">
        <v>45503</v>
      </c>
      <c r="F943" s="4">
        <v>66065</v>
      </c>
      <c r="G943" s="4">
        <v>645941</v>
      </c>
      <c r="H943" s="2">
        <v>4909</v>
      </c>
      <c r="I943" s="16">
        <v>4</v>
      </c>
      <c r="J943" s="1">
        <v>45507</v>
      </c>
      <c r="K943" s="3">
        <v>0.1023</v>
      </c>
      <c r="L943" s="13">
        <f t="shared" si="31"/>
        <v>7.5997653036422825</v>
      </c>
      <c r="M943" s="16">
        <f t="shared" si="32"/>
        <v>16516.25</v>
      </c>
    </row>
    <row r="944" spans="1:13" x14ac:dyDescent="0.3">
      <c r="A944">
        <v>100942</v>
      </c>
      <c r="B944" t="s">
        <v>18</v>
      </c>
      <c r="C944" t="s">
        <v>16</v>
      </c>
      <c r="D944" t="s">
        <v>17</v>
      </c>
      <c r="E944" s="1">
        <v>45504</v>
      </c>
      <c r="F944" s="4">
        <v>22182</v>
      </c>
      <c r="G944" s="4">
        <v>159598</v>
      </c>
      <c r="H944" s="2">
        <v>918</v>
      </c>
      <c r="I944" s="16">
        <v>21</v>
      </c>
      <c r="J944" s="1">
        <v>45525</v>
      </c>
      <c r="K944" s="3">
        <v>0.13900000000000001</v>
      </c>
      <c r="L944" s="13">
        <f t="shared" si="31"/>
        <v>5.7519517788443464</v>
      </c>
      <c r="M944" s="16">
        <f t="shared" si="32"/>
        <v>1056.2857142857142</v>
      </c>
    </row>
    <row r="945" spans="1:13" x14ac:dyDescent="0.3">
      <c r="A945">
        <v>100943</v>
      </c>
      <c r="B945" t="s">
        <v>13</v>
      </c>
      <c r="C945" t="s">
        <v>21</v>
      </c>
      <c r="D945" t="s">
        <v>15</v>
      </c>
      <c r="E945" s="1">
        <v>45505</v>
      </c>
      <c r="F945" s="4">
        <v>4509</v>
      </c>
      <c r="G945" s="4">
        <v>569499</v>
      </c>
      <c r="H945" s="2">
        <v>3548</v>
      </c>
      <c r="I945" s="16">
        <v>4</v>
      </c>
      <c r="J945" s="1">
        <v>45509</v>
      </c>
      <c r="K945" s="3">
        <v>7.9000000000000008E-3</v>
      </c>
      <c r="L945" s="13">
        <f t="shared" si="31"/>
        <v>6.2300372783797684</v>
      </c>
      <c r="M945" s="16">
        <f t="shared" si="32"/>
        <v>1127.25</v>
      </c>
    </row>
    <row r="946" spans="1:13" x14ac:dyDescent="0.3">
      <c r="A946">
        <v>100944</v>
      </c>
      <c r="B946" t="s">
        <v>13</v>
      </c>
      <c r="C946" t="s">
        <v>20</v>
      </c>
      <c r="D946" t="s">
        <v>12</v>
      </c>
      <c r="E946" s="1">
        <v>45506</v>
      </c>
      <c r="F946" s="4">
        <v>98389</v>
      </c>
      <c r="G946" s="4">
        <v>700237</v>
      </c>
      <c r="H946" s="2">
        <v>2760</v>
      </c>
      <c r="I946" s="16">
        <v>1</v>
      </c>
      <c r="J946" s="1">
        <v>45507</v>
      </c>
      <c r="K946" s="3">
        <v>0.14050000000000001</v>
      </c>
      <c r="L946" s="13">
        <f t="shared" si="31"/>
        <v>3.9415226559007879</v>
      </c>
      <c r="M946" s="16">
        <f t="shared" si="32"/>
        <v>98389</v>
      </c>
    </row>
    <row r="947" spans="1:13" x14ac:dyDescent="0.3">
      <c r="A947">
        <v>100945</v>
      </c>
      <c r="B947" t="s">
        <v>18</v>
      </c>
      <c r="C947" t="s">
        <v>21</v>
      </c>
      <c r="D947" t="s">
        <v>15</v>
      </c>
      <c r="E947" s="1">
        <v>45507</v>
      </c>
      <c r="F947" s="4">
        <v>28012</v>
      </c>
      <c r="G947" s="4">
        <v>669065</v>
      </c>
      <c r="H947" s="2">
        <v>531</v>
      </c>
      <c r="I947" s="16">
        <v>3</v>
      </c>
      <c r="J947" s="1">
        <v>45510</v>
      </c>
      <c r="K947" s="3">
        <v>4.19E-2</v>
      </c>
      <c r="L947" s="13">
        <f t="shared" si="31"/>
        <v>0.79364486260677214</v>
      </c>
      <c r="M947" s="16">
        <f t="shared" si="32"/>
        <v>9337.3333333333339</v>
      </c>
    </row>
    <row r="948" spans="1:13" x14ac:dyDescent="0.3">
      <c r="A948">
        <v>100946</v>
      </c>
      <c r="B948" t="s">
        <v>10</v>
      </c>
      <c r="C948" t="s">
        <v>20</v>
      </c>
      <c r="D948" t="s">
        <v>17</v>
      </c>
      <c r="E948" s="1">
        <v>45508</v>
      </c>
      <c r="F948" s="4">
        <v>35883</v>
      </c>
      <c r="G948" s="4">
        <v>500784</v>
      </c>
      <c r="H948" s="2">
        <v>2953</v>
      </c>
      <c r="I948" s="16">
        <v>26</v>
      </c>
      <c r="J948" s="1">
        <v>45534</v>
      </c>
      <c r="K948" s="3">
        <v>7.17E-2</v>
      </c>
      <c r="L948" s="13">
        <f t="shared" si="31"/>
        <v>5.8967538899006362</v>
      </c>
      <c r="M948" s="16">
        <f t="shared" si="32"/>
        <v>1380.1153846153845</v>
      </c>
    </row>
    <row r="949" spans="1:13" x14ac:dyDescent="0.3">
      <c r="A949">
        <v>100947</v>
      </c>
      <c r="B949" t="s">
        <v>10</v>
      </c>
      <c r="C949" t="s">
        <v>21</v>
      </c>
      <c r="D949" t="s">
        <v>22</v>
      </c>
      <c r="E949" s="1">
        <v>45509</v>
      </c>
      <c r="F949" s="4">
        <v>26912</v>
      </c>
      <c r="G949" s="4">
        <v>586022</v>
      </c>
      <c r="H949" s="2">
        <v>2109</v>
      </c>
      <c r="I949" s="16">
        <v>17</v>
      </c>
      <c r="J949" s="1">
        <v>45526</v>
      </c>
      <c r="K949" s="3">
        <v>4.5900000000000003E-2</v>
      </c>
      <c r="L949" s="13">
        <f t="shared" si="31"/>
        <v>3.598840999143377</v>
      </c>
      <c r="M949" s="16">
        <f t="shared" si="32"/>
        <v>1583.0588235294117</v>
      </c>
    </row>
    <row r="950" spans="1:13" x14ac:dyDescent="0.3">
      <c r="A950">
        <v>100948</v>
      </c>
      <c r="B950" t="s">
        <v>10</v>
      </c>
      <c r="C950" t="s">
        <v>21</v>
      </c>
      <c r="D950" t="s">
        <v>12</v>
      </c>
      <c r="E950" s="1">
        <v>45510</v>
      </c>
      <c r="F950" s="4">
        <v>73289</v>
      </c>
      <c r="G950" s="4">
        <v>521001</v>
      </c>
      <c r="H950" s="2">
        <v>3016</v>
      </c>
      <c r="I950" s="16">
        <v>25</v>
      </c>
      <c r="J950" s="1">
        <v>45535</v>
      </c>
      <c r="K950" s="3">
        <v>0.14069999999999999</v>
      </c>
      <c r="L950" s="13">
        <f t="shared" si="31"/>
        <v>5.7888564513311866</v>
      </c>
      <c r="M950" s="16">
        <f t="shared" si="32"/>
        <v>2931.56</v>
      </c>
    </row>
    <row r="951" spans="1:13" x14ac:dyDescent="0.3">
      <c r="A951">
        <v>100949</v>
      </c>
      <c r="B951" t="s">
        <v>18</v>
      </c>
      <c r="C951" t="s">
        <v>16</v>
      </c>
      <c r="D951" t="s">
        <v>12</v>
      </c>
      <c r="E951" s="1">
        <v>45511</v>
      </c>
      <c r="F951" s="4">
        <v>22590</v>
      </c>
      <c r="G951" s="4">
        <v>279885</v>
      </c>
      <c r="H951" s="2">
        <v>977</v>
      </c>
      <c r="I951" s="16">
        <v>4</v>
      </c>
      <c r="J951" s="1">
        <v>45515</v>
      </c>
      <c r="K951" s="3">
        <v>8.0699999999999994E-2</v>
      </c>
      <c r="L951" s="13">
        <f t="shared" si="31"/>
        <v>3.4907194026117869</v>
      </c>
      <c r="M951" s="16">
        <f t="shared" si="32"/>
        <v>5647.5</v>
      </c>
    </row>
    <row r="952" spans="1:13" x14ac:dyDescent="0.3">
      <c r="A952">
        <v>100950</v>
      </c>
      <c r="B952" t="s">
        <v>13</v>
      </c>
      <c r="C952" t="s">
        <v>14</v>
      </c>
      <c r="D952" t="s">
        <v>15</v>
      </c>
      <c r="E952" s="1">
        <v>45512</v>
      </c>
      <c r="F952" s="4">
        <v>1208</v>
      </c>
      <c r="G952" s="4">
        <v>350758</v>
      </c>
      <c r="H952" s="2">
        <v>4830</v>
      </c>
      <c r="I952" s="16">
        <v>10</v>
      </c>
      <c r="J952" s="1">
        <v>45522</v>
      </c>
      <c r="K952" s="3">
        <v>3.3999999999999998E-3</v>
      </c>
      <c r="L952" s="13">
        <f t="shared" si="31"/>
        <v>13.770177729374668</v>
      </c>
      <c r="M952" s="16">
        <f t="shared" si="32"/>
        <v>120.8</v>
      </c>
    </row>
    <row r="953" spans="1:13" x14ac:dyDescent="0.3">
      <c r="A953">
        <v>100951</v>
      </c>
      <c r="B953" t="s">
        <v>18</v>
      </c>
      <c r="C953" t="s">
        <v>21</v>
      </c>
      <c r="D953" t="s">
        <v>22</v>
      </c>
      <c r="E953" s="1">
        <v>45513</v>
      </c>
      <c r="F953" s="4">
        <v>97434</v>
      </c>
      <c r="G953" s="4">
        <v>983959</v>
      </c>
      <c r="H953" s="2">
        <v>4849</v>
      </c>
      <c r="I953" s="16">
        <v>5</v>
      </c>
      <c r="J953" s="1">
        <v>45518</v>
      </c>
      <c r="K953" s="3">
        <v>9.9000000000000005E-2</v>
      </c>
      <c r="L953" s="13">
        <f t="shared" si="31"/>
        <v>4.9280508639079477</v>
      </c>
      <c r="M953" s="16">
        <f t="shared" si="32"/>
        <v>19486.8</v>
      </c>
    </row>
    <row r="954" spans="1:13" x14ac:dyDescent="0.3">
      <c r="A954">
        <v>100952</v>
      </c>
      <c r="B954" t="s">
        <v>18</v>
      </c>
      <c r="C954" t="s">
        <v>23</v>
      </c>
      <c r="D954" t="s">
        <v>24</v>
      </c>
      <c r="E954" s="1">
        <v>45514</v>
      </c>
      <c r="F954" s="4">
        <v>48694</v>
      </c>
      <c r="G954" s="4">
        <v>559500</v>
      </c>
      <c r="H954" s="2">
        <v>4649</v>
      </c>
      <c r="I954" s="16">
        <v>16</v>
      </c>
      <c r="J954" s="1">
        <v>45530</v>
      </c>
      <c r="K954" s="3">
        <v>8.6999999999999994E-2</v>
      </c>
      <c r="L954" s="13">
        <f t="shared" si="31"/>
        <v>8.3092046470062542</v>
      </c>
      <c r="M954" s="16">
        <f t="shared" si="32"/>
        <v>3043.375</v>
      </c>
    </row>
    <row r="955" spans="1:13" x14ac:dyDescent="0.3">
      <c r="A955">
        <v>100953</v>
      </c>
      <c r="B955" t="s">
        <v>18</v>
      </c>
      <c r="C955" t="s">
        <v>11</v>
      </c>
      <c r="D955" t="s">
        <v>15</v>
      </c>
      <c r="E955" s="1">
        <v>45515</v>
      </c>
      <c r="F955" s="4">
        <v>38989</v>
      </c>
      <c r="G955" s="4">
        <v>153817</v>
      </c>
      <c r="H955" s="2">
        <v>377</v>
      </c>
      <c r="I955" s="16">
        <v>26</v>
      </c>
      <c r="J955" s="1">
        <v>45541</v>
      </c>
      <c r="K955" s="3">
        <v>0.2535</v>
      </c>
      <c r="L955" s="13">
        <f t="shared" si="31"/>
        <v>2.4509644577647465</v>
      </c>
      <c r="M955" s="16">
        <f t="shared" si="32"/>
        <v>1499.5769230769231</v>
      </c>
    </row>
    <row r="956" spans="1:13" x14ac:dyDescent="0.3">
      <c r="A956">
        <v>100954</v>
      </c>
      <c r="B956" t="s">
        <v>19</v>
      </c>
      <c r="C956" t="s">
        <v>20</v>
      </c>
      <c r="D956" t="s">
        <v>22</v>
      </c>
      <c r="E956" s="1">
        <v>45516</v>
      </c>
      <c r="F956" s="4">
        <v>58971</v>
      </c>
      <c r="G956" s="4">
        <v>268554</v>
      </c>
      <c r="H956" s="2">
        <v>4875</v>
      </c>
      <c r="I956" s="16">
        <v>4</v>
      </c>
      <c r="J956" s="1">
        <v>45520</v>
      </c>
      <c r="K956" s="3">
        <v>0.21959999999999999</v>
      </c>
      <c r="L956" s="13">
        <f t="shared" si="31"/>
        <v>18.152773743828057</v>
      </c>
      <c r="M956" s="16">
        <f t="shared" si="32"/>
        <v>14742.75</v>
      </c>
    </row>
    <row r="957" spans="1:13" x14ac:dyDescent="0.3">
      <c r="A957">
        <v>100955</v>
      </c>
      <c r="B957" t="s">
        <v>10</v>
      </c>
      <c r="C957" t="s">
        <v>25</v>
      </c>
      <c r="D957" t="s">
        <v>24</v>
      </c>
      <c r="E957" s="1">
        <v>45517</v>
      </c>
      <c r="F957" s="4">
        <v>40453</v>
      </c>
      <c r="G957" s="4">
        <v>421532</v>
      </c>
      <c r="H957" s="2">
        <v>447</v>
      </c>
      <c r="I957" s="16">
        <v>17</v>
      </c>
      <c r="J957" s="1">
        <v>45534</v>
      </c>
      <c r="K957" s="3">
        <v>9.6000000000000002E-2</v>
      </c>
      <c r="L957" s="13">
        <f t="shared" si="31"/>
        <v>1.060417714432119</v>
      </c>
      <c r="M957" s="16">
        <f t="shared" si="32"/>
        <v>2379.5882352941176</v>
      </c>
    </row>
    <row r="958" spans="1:13" x14ac:dyDescent="0.3">
      <c r="A958">
        <v>100956</v>
      </c>
      <c r="B958" t="s">
        <v>10</v>
      </c>
      <c r="C958" t="s">
        <v>14</v>
      </c>
      <c r="D958" t="s">
        <v>17</v>
      </c>
      <c r="E958" s="1">
        <v>45518</v>
      </c>
      <c r="F958" s="4">
        <v>65858</v>
      </c>
      <c r="G958" s="4">
        <v>969351</v>
      </c>
      <c r="H958" s="2">
        <v>4808</v>
      </c>
      <c r="I958" s="16">
        <v>7</v>
      </c>
      <c r="J958" s="1">
        <v>45525</v>
      </c>
      <c r="K958" s="3">
        <v>6.7900000000000002E-2</v>
      </c>
      <c r="L958" s="13">
        <f t="shared" si="31"/>
        <v>4.9600196420079001</v>
      </c>
      <c r="M958" s="16">
        <f t="shared" si="32"/>
        <v>9408.2857142857138</v>
      </c>
    </row>
    <row r="959" spans="1:13" x14ac:dyDescent="0.3">
      <c r="A959">
        <v>100957</v>
      </c>
      <c r="B959" t="s">
        <v>13</v>
      </c>
      <c r="C959" t="s">
        <v>21</v>
      </c>
      <c r="D959" t="s">
        <v>22</v>
      </c>
      <c r="E959" s="1">
        <v>45519</v>
      </c>
      <c r="F959" s="4">
        <v>63148</v>
      </c>
      <c r="G959" s="4">
        <v>864210</v>
      </c>
      <c r="H959" s="2">
        <v>4994</v>
      </c>
      <c r="I959" s="16">
        <v>18</v>
      </c>
      <c r="J959" s="1">
        <v>45537</v>
      </c>
      <c r="K959" s="3">
        <v>7.3099999999999998E-2</v>
      </c>
      <c r="L959" s="13">
        <f t="shared" si="31"/>
        <v>5.7786880503581308</v>
      </c>
      <c r="M959" s="16">
        <f t="shared" si="32"/>
        <v>3508.2222222222222</v>
      </c>
    </row>
    <row r="960" spans="1:13" x14ac:dyDescent="0.3">
      <c r="A960">
        <v>100958</v>
      </c>
      <c r="B960" t="s">
        <v>13</v>
      </c>
      <c r="C960" t="s">
        <v>16</v>
      </c>
      <c r="D960" t="s">
        <v>15</v>
      </c>
      <c r="E960" s="1">
        <v>45520</v>
      </c>
      <c r="F960" s="4">
        <v>30451</v>
      </c>
      <c r="G960" s="4">
        <v>779048</v>
      </c>
      <c r="H960" s="2">
        <v>2058</v>
      </c>
      <c r="I960" s="16">
        <v>25</v>
      </c>
      <c r="J960" s="1">
        <v>45545</v>
      </c>
      <c r="K960" s="3">
        <v>3.9100000000000003E-2</v>
      </c>
      <c r="L960" s="13">
        <f t="shared" si="31"/>
        <v>2.6416857497869195</v>
      </c>
      <c r="M960" s="16">
        <f t="shared" si="32"/>
        <v>1218.04</v>
      </c>
    </row>
    <row r="961" spans="1:13" x14ac:dyDescent="0.3">
      <c r="A961">
        <v>100959</v>
      </c>
      <c r="B961" t="s">
        <v>13</v>
      </c>
      <c r="C961" t="s">
        <v>16</v>
      </c>
      <c r="D961" t="s">
        <v>17</v>
      </c>
      <c r="E961" s="1">
        <v>45521</v>
      </c>
      <c r="F961" s="4">
        <v>30469</v>
      </c>
      <c r="G961" s="4">
        <v>541213</v>
      </c>
      <c r="H961" s="2">
        <v>4408</v>
      </c>
      <c r="I961" s="16">
        <v>23</v>
      </c>
      <c r="J961" s="1">
        <v>45544</v>
      </c>
      <c r="K961" s="3">
        <v>5.6300000000000003E-2</v>
      </c>
      <c r="L961" s="13">
        <f t="shared" si="31"/>
        <v>8.1446676262395776</v>
      </c>
      <c r="M961" s="16">
        <f t="shared" si="32"/>
        <v>1324.7391304347825</v>
      </c>
    </row>
    <row r="962" spans="1:13" x14ac:dyDescent="0.3">
      <c r="A962">
        <v>100960</v>
      </c>
      <c r="B962" t="s">
        <v>13</v>
      </c>
      <c r="C962" t="s">
        <v>21</v>
      </c>
      <c r="D962" t="s">
        <v>17</v>
      </c>
      <c r="E962" s="1">
        <v>45522</v>
      </c>
      <c r="F962" s="4">
        <v>47207</v>
      </c>
      <c r="G962" s="4">
        <v>842309</v>
      </c>
      <c r="H962" s="2">
        <v>4939</v>
      </c>
      <c r="I962" s="16">
        <v>21</v>
      </c>
      <c r="J962" s="1">
        <v>45543</v>
      </c>
      <c r="K962" s="3">
        <v>5.6000000000000001E-2</v>
      </c>
      <c r="L962" s="13">
        <f t="shared" ref="L962:L1025" si="33">H962/G962*1000</f>
        <v>5.8636438646624933</v>
      </c>
      <c r="M962" s="16">
        <f t="shared" ref="M962:M1025" si="34">IFERROR(F962/I962,"No Data")</f>
        <v>2247.9523809523807</v>
      </c>
    </row>
    <row r="963" spans="1:13" x14ac:dyDescent="0.3">
      <c r="A963">
        <v>100961</v>
      </c>
      <c r="B963" t="s">
        <v>13</v>
      </c>
      <c r="C963" t="s">
        <v>14</v>
      </c>
      <c r="D963" t="s">
        <v>12</v>
      </c>
      <c r="E963" s="1">
        <v>45523</v>
      </c>
      <c r="F963" s="4">
        <v>87382</v>
      </c>
      <c r="G963" s="4">
        <v>986466</v>
      </c>
      <c r="H963" s="2">
        <v>184</v>
      </c>
      <c r="I963" s="16">
        <v>24</v>
      </c>
      <c r="J963" s="1">
        <v>45547</v>
      </c>
      <c r="K963" s="3">
        <v>8.8599999999999998E-2</v>
      </c>
      <c r="L963" s="13">
        <f t="shared" si="33"/>
        <v>0.18652442152086335</v>
      </c>
      <c r="M963" s="16">
        <f t="shared" si="34"/>
        <v>3640.9166666666665</v>
      </c>
    </row>
    <row r="964" spans="1:13" x14ac:dyDescent="0.3">
      <c r="A964">
        <v>100962</v>
      </c>
      <c r="B964" t="s">
        <v>18</v>
      </c>
      <c r="C964" t="s">
        <v>21</v>
      </c>
      <c r="D964" t="s">
        <v>22</v>
      </c>
      <c r="E964" s="1">
        <v>45524</v>
      </c>
      <c r="F964" s="4">
        <v>24181</v>
      </c>
      <c r="G964" s="4">
        <v>513941</v>
      </c>
      <c r="H964" s="2">
        <v>1052</v>
      </c>
      <c r="I964" s="16">
        <v>4</v>
      </c>
      <c r="J964" s="1">
        <v>45528</v>
      </c>
      <c r="K964" s="3">
        <v>4.7100000000000003E-2</v>
      </c>
      <c r="L964" s="13">
        <f t="shared" si="33"/>
        <v>2.0469275656155084</v>
      </c>
      <c r="M964" s="16">
        <f t="shared" si="34"/>
        <v>6045.25</v>
      </c>
    </row>
    <row r="965" spans="1:13" x14ac:dyDescent="0.3">
      <c r="A965">
        <v>100963</v>
      </c>
      <c r="B965" t="s">
        <v>18</v>
      </c>
      <c r="C965" t="s">
        <v>14</v>
      </c>
      <c r="D965" t="s">
        <v>24</v>
      </c>
      <c r="E965" s="1">
        <v>45525</v>
      </c>
      <c r="F965" s="4">
        <v>85825</v>
      </c>
      <c r="G965" s="4">
        <v>11518</v>
      </c>
      <c r="H965" s="2">
        <v>4760</v>
      </c>
      <c r="I965" s="16">
        <v>12</v>
      </c>
      <c r="J965" s="1">
        <v>45537</v>
      </c>
      <c r="K965" s="3">
        <v>7.4513999999999996</v>
      </c>
      <c r="L965" s="13">
        <f t="shared" si="33"/>
        <v>413.26619204723039</v>
      </c>
      <c r="M965" s="16">
        <f t="shared" si="34"/>
        <v>7152.083333333333</v>
      </c>
    </row>
    <row r="966" spans="1:13" x14ac:dyDescent="0.3">
      <c r="A966">
        <v>100964</v>
      </c>
      <c r="B966" t="s">
        <v>19</v>
      </c>
      <c r="C966" t="s">
        <v>20</v>
      </c>
      <c r="D966" t="s">
        <v>22</v>
      </c>
      <c r="E966" s="1">
        <v>45526</v>
      </c>
      <c r="F966" s="4">
        <v>61969</v>
      </c>
      <c r="G966" s="4">
        <v>368521</v>
      </c>
      <c r="H966" s="2">
        <v>4325</v>
      </c>
      <c r="I966" s="16">
        <v>14</v>
      </c>
      <c r="J966" s="1">
        <v>45540</v>
      </c>
      <c r="K966" s="3">
        <v>0.16819999999999999</v>
      </c>
      <c r="L966" s="13">
        <f t="shared" si="33"/>
        <v>11.736101877504947</v>
      </c>
      <c r="M966" s="16">
        <f t="shared" si="34"/>
        <v>4426.3571428571431</v>
      </c>
    </row>
    <row r="967" spans="1:13" x14ac:dyDescent="0.3">
      <c r="A967">
        <v>100965</v>
      </c>
      <c r="B967" t="s">
        <v>13</v>
      </c>
      <c r="C967" t="s">
        <v>20</v>
      </c>
      <c r="D967" t="s">
        <v>24</v>
      </c>
      <c r="E967" s="1">
        <v>45527</v>
      </c>
      <c r="F967" s="4">
        <v>34346</v>
      </c>
      <c r="G967" s="4">
        <v>498013</v>
      </c>
      <c r="H967" s="2">
        <v>2639</v>
      </c>
      <c r="I967" s="16">
        <v>11</v>
      </c>
      <c r="J967" s="1">
        <v>45538</v>
      </c>
      <c r="K967" s="3">
        <v>6.9000000000000006E-2</v>
      </c>
      <c r="L967" s="13">
        <f t="shared" si="33"/>
        <v>5.2990584583133371</v>
      </c>
      <c r="M967" s="16">
        <f t="shared" si="34"/>
        <v>3122.3636363636365</v>
      </c>
    </row>
    <row r="968" spans="1:13" x14ac:dyDescent="0.3">
      <c r="A968">
        <v>100966</v>
      </c>
      <c r="B968" t="s">
        <v>19</v>
      </c>
      <c r="C968" t="s">
        <v>21</v>
      </c>
      <c r="D968" t="s">
        <v>15</v>
      </c>
      <c r="E968" s="1">
        <v>45528</v>
      </c>
      <c r="F968" s="4">
        <v>24338</v>
      </c>
      <c r="G968" s="4">
        <v>919344</v>
      </c>
      <c r="H968" s="2">
        <v>298</v>
      </c>
      <c r="I968" s="16">
        <v>18</v>
      </c>
      <c r="J968" s="1">
        <v>45546</v>
      </c>
      <c r="K968" s="3">
        <v>2.6499999999999999E-2</v>
      </c>
      <c r="L968" s="13">
        <f t="shared" si="33"/>
        <v>0.32414417236638299</v>
      </c>
      <c r="M968" s="16">
        <f t="shared" si="34"/>
        <v>1352.1111111111111</v>
      </c>
    </row>
    <row r="969" spans="1:13" x14ac:dyDescent="0.3">
      <c r="A969">
        <v>100967</v>
      </c>
      <c r="B969" t="s">
        <v>18</v>
      </c>
      <c r="C969" t="s">
        <v>21</v>
      </c>
      <c r="D969" t="s">
        <v>24</v>
      </c>
      <c r="E969" s="1">
        <v>45529</v>
      </c>
      <c r="F969" s="4">
        <v>20338</v>
      </c>
      <c r="G969" s="4">
        <v>583306</v>
      </c>
      <c r="H969" s="2">
        <v>1049</v>
      </c>
      <c r="I969" s="16">
        <v>13</v>
      </c>
      <c r="J969" s="1">
        <v>45542</v>
      </c>
      <c r="K969" s="3">
        <v>3.49E-2</v>
      </c>
      <c r="L969" s="13">
        <f t="shared" si="33"/>
        <v>1.798369980764813</v>
      </c>
      <c r="M969" s="16">
        <f t="shared" si="34"/>
        <v>1564.4615384615386</v>
      </c>
    </row>
    <row r="970" spans="1:13" x14ac:dyDescent="0.3">
      <c r="A970">
        <v>100968</v>
      </c>
      <c r="B970" t="s">
        <v>13</v>
      </c>
      <c r="C970" t="s">
        <v>11</v>
      </c>
      <c r="D970" t="s">
        <v>15</v>
      </c>
      <c r="E970" s="1">
        <v>45530</v>
      </c>
      <c r="F970" s="4">
        <v>2423</v>
      </c>
      <c r="G970" s="4">
        <v>680534</v>
      </c>
      <c r="H970" s="2">
        <v>1258</v>
      </c>
      <c r="I970" s="16">
        <v>21</v>
      </c>
      <c r="J970" s="1">
        <v>45551</v>
      </c>
      <c r="K970" s="3">
        <v>3.5999999999999999E-3</v>
      </c>
      <c r="L970" s="13">
        <f t="shared" si="33"/>
        <v>1.8485483458578116</v>
      </c>
      <c r="M970" s="16">
        <f t="shared" si="34"/>
        <v>115.38095238095238</v>
      </c>
    </row>
    <row r="971" spans="1:13" x14ac:dyDescent="0.3">
      <c r="A971">
        <v>100969</v>
      </c>
      <c r="B971" t="s">
        <v>18</v>
      </c>
      <c r="C971" t="s">
        <v>25</v>
      </c>
      <c r="D971" t="s">
        <v>17</v>
      </c>
      <c r="E971" s="1">
        <v>45531</v>
      </c>
      <c r="F971" s="4">
        <v>4707</v>
      </c>
      <c r="G971" s="4">
        <v>874765</v>
      </c>
      <c r="H971" s="2">
        <v>3253</v>
      </c>
      <c r="I971" s="16">
        <v>13</v>
      </c>
      <c r="J971" s="1">
        <v>45544</v>
      </c>
      <c r="K971" s="3">
        <v>5.4000000000000003E-3</v>
      </c>
      <c r="L971" s="13">
        <f t="shared" si="33"/>
        <v>3.7187130257840679</v>
      </c>
      <c r="M971" s="16">
        <f t="shared" si="34"/>
        <v>362.07692307692309</v>
      </c>
    </row>
    <row r="972" spans="1:13" x14ac:dyDescent="0.3">
      <c r="A972">
        <v>100970</v>
      </c>
      <c r="B972" t="s">
        <v>18</v>
      </c>
      <c r="C972" t="s">
        <v>11</v>
      </c>
      <c r="D972" t="s">
        <v>17</v>
      </c>
      <c r="E972" s="1">
        <v>45532</v>
      </c>
      <c r="F972" s="4">
        <v>39516</v>
      </c>
      <c r="G972" s="4">
        <v>708267</v>
      </c>
      <c r="H972" s="2">
        <v>4203</v>
      </c>
      <c r="I972" s="16">
        <v>29</v>
      </c>
      <c r="J972" s="1">
        <v>45561</v>
      </c>
      <c r="K972" s="3">
        <v>5.5800000000000002E-2</v>
      </c>
      <c r="L972" s="13">
        <f t="shared" si="33"/>
        <v>5.9342027794602883</v>
      </c>
      <c r="M972" s="16">
        <f t="shared" si="34"/>
        <v>1362.6206896551723</v>
      </c>
    </row>
    <row r="973" spans="1:13" x14ac:dyDescent="0.3">
      <c r="A973">
        <v>100971</v>
      </c>
      <c r="B973" t="s">
        <v>18</v>
      </c>
      <c r="C973" t="s">
        <v>20</v>
      </c>
      <c r="D973" t="s">
        <v>22</v>
      </c>
      <c r="E973" s="1">
        <v>45533</v>
      </c>
      <c r="F973" s="4">
        <v>13968</v>
      </c>
      <c r="G973" s="4">
        <v>345818</v>
      </c>
      <c r="H973" s="2">
        <v>589</v>
      </c>
      <c r="I973" s="16">
        <v>16</v>
      </c>
      <c r="J973" s="1">
        <v>45549</v>
      </c>
      <c r="K973" s="3">
        <v>4.0399999999999998E-2</v>
      </c>
      <c r="L973" s="13">
        <f t="shared" si="33"/>
        <v>1.7032080458507077</v>
      </c>
      <c r="M973" s="16">
        <f t="shared" si="34"/>
        <v>873</v>
      </c>
    </row>
    <row r="974" spans="1:13" x14ac:dyDescent="0.3">
      <c r="A974">
        <v>100972</v>
      </c>
      <c r="B974" t="s">
        <v>18</v>
      </c>
      <c r="C974" t="s">
        <v>16</v>
      </c>
      <c r="D974" t="s">
        <v>22</v>
      </c>
      <c r="E974" s="1">
        <v>45534</v>
      </c>
      <c r="F974" s="4">
        <v>11520</v>
      </c>
      <c r="G974" s="4">
        <v>230813</v>
      </c>
      <c r="H974" s="2">
        <v>4397</v>
      </c>
      <c r="I974" s="16">
        <v>15</v>
      </c>
      <c r="J974" s="1">
        <v>45549</v>
      </c>
      <c r="K974" s="3">
        <v>4.99E-2</v>
      </c>
      <c r="L974" s="13">
        <f t="shared" si="33"/>
        <v>19.050053506518264</v>
      </c>
      <c r="M974" s="16">
        <f t="shared" si="34"/>
        <v>768</v>
      </c>
    </row>
    <row r="975" spans="1:13" x14ac:dyDescent="0.3">
      <c r="A975">
        <v>100973</v>
      </c>
      <c r="B975" t="s">
        <v>19</v>
      </c>
      <c r="C975" t="s">
        <v>20</v>
      </c>
      <c r="D975" t="s">
        <v>12</v>
      </c>
      <c r="E975" s="1">
        <v>45535</v>
      </c>
      <c r="F975" s="4">
        <v>73547</v>
      </c>
      <c r="G975" s="4">
        <v>281624</v>
      </c>
      <c r="H975" s="2">
        <v>3134</v>
      </c>
      <c r="I975" s="16">
        <v>18</v>
      </c>
      <c r="J975" s="1">
        <v>45553</v>
      </c>
      <c r="K975" s="3">
        <v>0.26119999999999999</v>
      </c>
      <c r="L975" s="13">
        <f t="shared" si="33"/>
        <v>11.128312927875465</v>
      </c>
      <c r="M975" s="16">
        <f t="shared" si="34"/>
        <v>4085.9444444444443</v>
      </c>
    </row>
    <row r="976" spans="1:13" x14ac:dyDescent="0.3">
      <c r="A976">
        <v>100974</v>
      </c>
      <c r="B976" t="s">
        <v>18</v>
      </c>
      <c r="C976" t="s">
        <v>14</v>
      </c>
      <c r="D976" t="s">
        <v>15</v>
      </c>
      <c r="E976" s="1">
        <v>45536</v>
      </c>
      <c r="F976" s="4">
        <v>38487</v>
      </c>
      <c r="G976" s="4">
        <v>353411</v>
      </c>
      <c r="H976" s="2">
        <v>792</v>
      </c>
      <c r="I976" s="16">
        <v>6</v>
      </c>
      <c r="J976" s="1">
        <v>45542</v>
      </c>
      <c r="K976" s="3">
        <v>0.1089</v>
      </c>
      <c r="L976" s="13">
        <f t="shared" si="33"/>
        <v>2.2410168330923486</v>
      </c>
      <c r="M976" s="16">
        <f t="shared" si="34"/>
        <v>6414.5</v>
      </c>
    </row>
    <row r="977" spans="1:13" x14ac:dyDescent="0.3">
      <c r="A977">
        <v>100975</v>
      </c>
      <c r="B977" t="s">
        <v>13</v>
      </c>
      <c r="C977" t="s">
        <v>21</v>
      </c>
      <c r="D977" t="s">
        <v>22</v>
      </c>
      <c r="E977" s="1">
        <v>45537</v>
      </c>
      <c r="F977" s="4">
        <v>58372</v>
      </c>
      <c r="G977" s="4">
        <v>444318</v>
      </c>
      <c r="H977" s="2">
        <v>3729</v>
      </c>
      <c r="I977" s="16">
        <v>3</v>
      </c>
      <c r="J977" s="1">
        <v>45540</v>
      </c>
      <c r="K977" s="3">
        <v>0.13139999999999999</v>
      </c>
      <c r="L977" s="13">
        <f t="shared" si="33"/>
        <v>8.3926377054271946</v>
      </c>
      <c r="M977" s="16">
        <f t="shared" si="34"/>
        <v>19457.333333333332</v>
      </c>
    </row>
    <row r="978" spans="1:13" x14ac:dyDescent="0.3">
      <c r="A978">
        <v>100976</v>
      </c>
      <c r="B978" t="s">
        <v>13</v>
      </c>
      <c r="C978" t="s">
        <v>25</v>
      </c>
      <c r="D978" t="s">
        <v>22</v>
      </c>
      <c r="E978" s="1">
        <v>45538</v>
      </c>
      <c r="F978" s="4">
        <v>13159</v>
      </c>
      <c r="G978" s="4">
        <v>408533</v>
      </c>
      <c r="H978" s="2">
        <v>2467</v>
      </c>
      <c r="I978" s="16">
        <v>21</v>
      </c>
      <c r="J978" s="1">
        <v>45559</v>
      </c>
      <c r="K978" s="3">
        <v>3.2199999999999999E-2</v>
      </c>
      <c r="L978" s="13">
        <f t="shared" si="33"/>
        <v>6.0386798618471458</v>
      </c>
      <c r="M978" s="16">
        <f t="shared" si="34"/>
        <v>626.61904761904759</v>
      </c>
    </row>
    <row r="979" spans="1:13" x14ac:dyDescent="0.3">
      <c r="A979">
        <v>100977</v>
      </c>
      <c r="B979" t="s">
        <v>13</v>
      </c>
      <c r="C979" t="s">
        <v>23</v>
      </c>
      <c r="D979" t="s">
        <v>22</v>
      </c>
      <c r="E979" s="1">
        <v>45539</v>
      </c>
      <c r="F979" s="4">
        <v>70970</v>
      </c>
      <c r="G979" s="4">
        <v>386654</v>
      </c>
      <c r="H979" s="2">
        <v>340</v>
      </c>
      <c r="I979" s="16">
        <v>18</v>
      </c>
      <c r="J979" s="1">
        <v>45557</v>
      </c>
      <c r="K979" s="3">
        <v>0.1835</v>
      </c>
      <c r="L979" s="13">
        <f t="shared" si="33"/>
        <v>0.87933915076528368</v>
      </c>
      <c r="M979" s="16">
        <f t="shared" si="34"/>
        <v>3942.7777777777778</v>
      </c>
    </row>
    <row r="980" spans="1:13" x14ac:dyDescent="0.3">
      <c r="A980">
        <v>100978</v>
      </c>
      <c r="B980" t="s">
        <v>13</v>
      </c>
      <c r="C980" t="s">
        <v>21</v>
      </c>
      <c r="D980" t="s">
        <v>22</v>
      </c>
      <c r="E980" s="1">
        <v>45540</v>
      </c>
      <c r="F980" s="4">
        <v>12458</v>
      </c>
      <c r="G980" s="4">
        <v>690320</v>
      </c>
      <c r="H980" s="2">
        <v>3856</v>
      </c>
      <c r="I980" s="16">
        <v>2</v>
      </c>
      <c r="J980" s="1">
        <v>45542</v>
      </c>
      <c r="K980" s="3">
        <v>1.7999999999999999E-2</v>
      </c>
      <c r="L980" s="13">
        <f t="shared" si="33"/>
        <v>5.5858152740757907</v>
      </c>
      <c r="M980" s="16">
        <f t="shared" si="34"/>
        <v>6229</v>
      </c>
    </row>
    <row r="981" spans="1:13" x14ac:dyDescent="0.3">
      <c r="A981">
        <v>100979</v>
      </c>
      <c r="B981" t="s">
        <v>18</v>
      </c>
      <c r="C981" t="s">
        <v>20</v>
      </c>
      <c r="D981" t="s">
        <v>12</v>
      </c>
      <c r="E981" s="1">
        <v>45541</v>
      </c>
      <c r="F981" s="4">
        <v>54008</v>
      </c>
      <c r="G981" s="4">
        <v>283412</v>
      </c>
      <c r="H981" s="2">
        <v>1296</v>
      </c>
      <c r="I981" s="16">
        <v>3</v>
      </c>
      <c r="J981" s="1">
        <v>45544</v>
      </c>
      <c r="K981" s="3">
        <v>0.19059999999999999</v>
      </c>
      <c r="L981" s="13">
        <f t="shared" si="33"/>
        <v>4.5728480092586059</v>
      </c>
      <c r="M981" s="16">
        <f t="shared" si="34"/>
        <v>18002.666666666668</v>
      </c>
    </row>
    <row r="982" spans="1:13" x14ac:dyDescent="0.3">
      <c r="A982">
        <v>100980</v>
      </c>
      <c r="B982" t="s">
        <v>19</v>
      </c>
      <c r="C982" t="s">
        <v>23</v>
      </c>
      <c r="D982" t="s">
        <v>17</v>
      </c>
      <c r="E982" s="1">
        <v>45542</v>
      </c>
      <c r="F982" s="4">
        <v>94489</v>
      </c>
      <c r="G982" s="4">
        <v>291659</v>
      </c>
      <c r="H982" s="2">
        <v>3708</v>
      </c>
      <c r="I982" s="16">
        <v>26</v>
      </c>
      <c r="J982" s="1">
        <v>45568</v>
      </c>
      <c r="K982" s="3">
        <v>0.32400000000000001</v>
      </c>
      <c r="L982" s="13">
        <f t="shared" si="33"/>
        <v>12.713477039967909</v>
      </c>
      <c r="M982" s="16">
        <f t="shared" si="34"/>
        <v>3634.1923076923076</v>
      </c>
    </row>
    <row r="983" spans="1:13" x14ac:dyDescent="0.3">
      <c r="A983">
        <v>100981</v>
      </c>
      <c r="B983" t="s">
        <v>10</v>
      </c>
      <c r="C983" t="s">
        <v>20</v>
      </c>
      <c r="D983" t="s">
        <v>22</v>
      </c>
      <c r="E983" s="1">
        <v>45543</v>
      </c>
      <c r="F983" s="4">
        <v>40750</v>
      </c>
      <c r="G983" s="4">
        <v>583999</v>
      </c>
      <c r="H983" s="2">
        <v>4079</v>
      </c>
      <c r="I983" s="16">
        <v>6</v>
      </c>
      <c r="J983" s="1">
        <v>45549</v>
      </c>
      <c r="K983" s="3">
        <v>6.9800000000000001E-2</v>
      </c>
      <c r="L983" s="13">
        <f t="shared" si="33"/>
        <v>6.9846010010291115</v>
      </c>
      <c r="M983" s="16">
        <f t="shared" si="34"/>
        <v>6791.666666666667</v>
      </c>
    </row>
    <row r="984" spans="1:13" x14ac:dyDescent="0.3">
      <c r="A984">
        <v>100982</v>
      </c>
      <c r="B984" t="s">
        <v>10</v>
      </c>
      <c r="C984" t="s">
        <v>20</v>
      </c>
      <c r="D984" t="s">
        <v>12</v>
      </c>
      <c r="E984" s="1">
        <v>45544</v>
      </c>
      <c r="F984" s="4">
        <v>51278</v>
      </c>
      <c r="G984" s="4">
        <v>236573</v>
      </c>
      <c r="H984" s="2">
        <v>1508</v>
      </c>
      <c r="I984" s="16">
        <v>4</v>
      </c>
      <c r="J984" s="1">
        <v>45548</v>
      </c>
      <c r="K984" s="3">
        <v>0.21679999999999999</v>
      </c>
      <c r="L984" s="13">
        <f t="shared" si="33"/>
        <v>6.3743537935436416</v>
      </c>
      <c r="M984" s="16">
        <f t="shared" si="34"/>
        <v>12819.5</v>
      </c>
    </row>
    <row r="985" spans="1:13" x14ac:dyDescent="0.3">
      <c r="A985">
        <v>100983</v>
      </c>
      <c r="B985" t="s">
        <v>13</v>
      </c>
      <c r="C985" t="s">
        <v>20</v>
      </c>
      <c r="D985" t="s">
        <v>12</v>
      </c>
      <c r="E985" s="1">
        <v>45545</v>
      </c>
      <c r="F985" s="4">
        <v>47964</v>
      </c>
      <c r="G985" s="4">
        <v>276234</v>
      </c>
      <c r="H985" s="2">
        <v>1512</v>
      </c>
      <c r="I985" s="16">
        <v>17</v>
      </c>
      <c r="J985" s="1">
        <v>45562</v>
      </c>
      <c r="K985" s="3">
        <v>0.1736</v>
      </c>
      <c r="L985" s="13">
        <f t="shared" si="33"/>
        <v>5.4736201915767069</v>
      </c>
      <c r="M985" s="16">
        <f t="shared" si="34"/>
        <v>2821.4117647058824</v>
      </c>
    </row>
    <row r="986" spans="1:13" x14ac:dyDescent="0.3">
      <c r="A986">
        <v>100984</v>
      </c>
      <c r="B986" t="s">
        <v>18</v>
      </c>
      <c r="C986" t="s">
        <v>25</v>
      </c>
      <c r="D986" t="s">
        <v>12</v>
      </c>
      <c r="E986" s="1">
        <v>45546</v>
      </c>
      <c r="F986" s="4">
        <v>20351</v>
      </c>
      <c r="G986" s="4">
        <v>453521</v>
      </c>
      <c r="H986" s="2">
        <v>4136</v>
      </c>
      <c r="I986" s="16">
        <v>11</v>
      </c>
      <c r="J986" s="1">
        <v>45557</v>
      </c>
      <c r="K986" s="3">
        <v>4.4900000000000002E-2</v>
      </c>
      <c r="L986" s="13">
        <f t="shared" si="33"/>
        <v>9.1197541017946264</v>
      </c>
      <c r="M986" s="16">
        <f t="shared" si="34"/>
        <v>1850.090909090909</v>
      </c>
    </row>
    <row r="987" spans="1:13" x14ac:dyDescent="0.3">
      <c r="A987">
        <v>100985</v>
      </c>
      <c r="B987" t="s">
        <v>19</v>
      </c>
      <c r="C987" t="s">
        <v>23</v>
      </c>
      <c r="D987" t="s">
        <v>22</v>
      </c>
      <c r="E987" s="1">
        <v>45547</v>
      </c>
      <c r="F987" s="4">
        <v>15889</v>
      </c>
      <c r="G987" s="4">
        <v>704679</v>
      </c>
      <c r="H987" s="2">
        <v>4539</v>
      </c>
      <c r="I987" s="16">
        <v>11</v>
      </c>
      <c r="J987" s="1">
        <v>45558</v>
      </c>
      <c r="K987" s="3">
        <v>2.2499999999999999E-2</v>
      </c>
      <c r="L987" s="13">
        <f t="shared" si="33"/>
        <v>6.441230688015394</v>
      </c>
      <c r="M987" s="16">
        <f t="shared" si="34"/>
        <v>1444.4545454545455</v>
      </c>
    </row>
    <row r="988" spans="1:13" x14ac:dyDescent="0.3">
      <c r="A988">
        <v>100986</v>
      </c>
      <c r="B988" t="s">
        <v>18</v>
      </c>
      <c r="C988" t="s">
        <v>11</v>
      </c>
      <c r="D988" t="s">
        <v>12</v>
      </c>
      <c r="E988" s="1">
        <v>45548</v>
      </c>
      <c r="F988" s="4">
        <v>9727</v>
      </c>
      <c r="G988" s="4">
        <v>958908</v>
      </c>
      <c r="H988" s="2">
        <v>2579</v>
      </c>
      <c r="I988" s="16">
        <v>23</v>
      </c>
      <c r="J988" s="1">
        <v>45571</v>
      </c>
      <c r="K988" s="3">
        <v>1.01E-2</v>
      </c>
      <c r="L988" s="13">
        <f t="shared" si="33"/>
        <v>2.6895176596712091</v>
      </c>
      <c r="M988" s="16">
        <f t="shared" si="34"/>
        <v>422.91304347826087</v>
      </c>
    </row>
    <row r="989" spans="1:13" x14ac:dyDescent="0.3">
      <c r="A989">
        <v>100987</v>
      </c>
      <c r="B989" t="s">
        <v>18</v>
      </c>
      <c r="C989" t="s">
        <v>25</v>
      </c>
      <c r="D989" t="s">
        <v>24</v>
      </c>
      <c r="E989" s="1">
        <v>45549</v>
      </c>
      <c r="F989" s="4">
        <v>46920</v>
      </c>
      <c r="G989" s="4">
        <v>798950</v>
      </c>
      <c r="H989" s="2">
        <v>3323</v>
      </c>
      <c r="I989" s="16">
        <v>11</v>
      </c>
      <c r="J989" s="1">
        <v>45560</v>
      </c>
      <c r="K989" s="3">
        <v>5.8700000000000002E-2</v>
      </c>
      <c r="L989" s="13">
        <f t="shared" si="33"/>
        <v>4.1592089617623129</v>
      </c>
      <c r="M989" s="16">
        <f t="shared" si="34"/>
        <v>4265.454545454545</v>
      </c>
    </row>
    <row r="990" spans="1:13" x14ac:dyDescent="0.3">
      <c r="A990">
        <v>100988</v>
      </c>
      <c r="B990" t="s">
        <v>18</v>
      </c>
      <c r="C990" t="s">
        <v>23</v>
      </c>
      <c r="D990" t="s">
        <v>22</v>
      </c>
      <c r="E990" s="1">
        <v>45550</v>
      </c>
      <c r="F990" s="4">
        <v>90772</v>
      </c>
      <c r="G990" s="4">
        <v>946166</v>
      </c>
      <c r="H990" s="2">
        <v>3335</v>
      </c>
      <c r="I990" s="16">
        <v>26</v>
      </c>
      <c r="J990" s="1">
        <v>45576</v>
      </c>
      <c r="K990" s="3">
        <v>9.5899999999999999E-2</v>
      </c>
      <c r="L990" s="13">
        <f t="shared" si="33"/>
        <v>3.5247514706721654</v>
      </c>
      <c r="M990" s="16">
        <f t="shared" si="34"/>
        <v>3491.2307692307691</v>
      </c>
    </row>
    <row r="991" spans="1:13" x14ac:dyDescent="0.3">
      <c r="A991">
        <v>100989</v>
      </c>
      <c r="B991" t="s">
        <v>10</v>
      </c>
      <c r="C991" t="s">
        <v>11</v>
      </c>
      <c r="D991" t="s">
        <v>22</v>
      </c>
      <c r="E991" s="1">
        <v>45551</v>
      </c>
      <c r="F991" s="4">
        <v>75539</v>
      </c>
      <c r="G991" s="4">
        <v>35970</v>
      </c>
      <c r="H991" s="2">
        <v>2733</v>
      </c>
      <c r="I991" s="16">
        <v>29</v>
      </c>
      <c r="J991" s="1">
        <v>45580</v>
      </c>
      <c r="K991" s="3">
        <v>2.1000999999999999</v>
      </c>
      <c r="L991" s="13">
        <f t="shared" si="33"/>
        <v>75.979983319432861</v>
      </c>
      <c r="M991" s="16">
        <f t="shared" si="34"/>
        <v>2604.7931034482758</v>
      </c>
    </row>
    <row r="992" spans="1:13" x14ac:dyDescent="0.3">
      <c r="A992">
        <v>100990</v>
      </c>
      <c r="B992" t="s">
        <v>13</v>
      </c>
      <c r="C992" t="s">
        <v>11</v>
      </c>
      <c r="D992" t="s">
        <v>22</v>
      </c>
      <c r="E992" s="1">
        <v>45552</v>
      </c>
      <c r="F992" s="4">
        <v>43507</v>
      </c>
      <c r="G992" s="4">
        <v>8926</v>
      </c>
      <c r="H992" s="2">
        <v>393</v>
      </c>
      <c r="I992" s="16">
        <v>3</v>
      </c>
      <c r="J992" s="1">
        <v>45555</v>
      </c>
      <c r="K992" s="3">
        <v>4.8742000000000001</v>
      </c>
      <c r="L992" s="13">
        <f t="shared" si="33"/>
        <v>44.028680259914857</v>
      </c>
      <c r="M992" s="16">
        <f t="shared" si="34"/>
        <v>14502.333333333334</v>
      </c>
    </row>
    <row r="993" spans="1:13" x14ac:dyDescent="0.3">
      <c r="A993">
        <v>100991</v>
      </c>
      <c r="B993" t="s">
        <v>10</v>
      </c>
      <c r="C993" t="s">
        <v>14</v>
      </c>
      <c r="D993" t="s">
        <v>17</v>
      </c>
      <c r="E993" s="1">
        <v>45553</v>
      </c>
      <c r="F993" s="4">
        <v>95332</v>
      </c>
      <c r="G993" s="4">
        <v>779332</v>
      </c>
      <c r="H993" s="2">
        <v>3082</v>
      </c>
      <c r="I993" s="16">
        <v>5</v>
      </c>
      <c r="J993" s="1">
        <v>45558</v>
      </c>
      <c r="K993" s="3">
        <v>0.12230000000000001</v>
      </c>
      <c r="L993" s="13">
        <f t="shared" si="33"/>
        <v>3.9546688702632511</v>
      </c>
      <c r="M993" s="16">
        <f t="shared" si="34"/>
        <v>19066.400000000001</v>
      </c>
    </row>
    <row r="994" spans="1:13" x14ac:dyDescent="0.3">
      <c r="A994">
        <v>100992</v>
      </c>
      <c r="B994" t="s">
        <v>10</v>
      </c>
      <c r="C994" t="s">
        <v>14</v>
      </c>
      <c r="D994" t="s">
        <v>15</v>
      </c>
      <c r="E994" s="1">
        <v>45554</v>
      </c>
      <c r="F994" s="4">
        <v>93783</v>
      </c>
      <c r="G994" s="4">
        <v>457078</v>
      </c>
      <c r="H994" s="2">
        <v>677</v>
      </c>
      <c r="I994" s="16">
        <v>21</v>
      </c>
      <c r="J994" s="1">
        <v>45575</v>
      </c>
      <c r="K994" s="3">
        <v>0.20519999999999999</v>
      </c>
      <c r="L994" s="13">
        <f t="shared" si="33"/>
        <v>1.4811476378211159</v>
      </c>
      <c r="M994" s="16">
        <f t="shared" si="34"/>
        <v>4465.8571428571431</v>
      </c>
    </row>
    <row r="995" spans="1:13" x14ac:dyDescent="0.3">
      <c r="A995">
        <v>100993</v>
      </c>
      <c r="B995" t="s">
        <v>18</v>
      </c>
      <c r="C995" t="s">
        <v>21</v>
      </c>
      <c r="D995" t="s">
        <v>24</v>
      </c>
      <c r="E995" s="1">
        <v>45555</v>
      </c>
      <c r="F995" s="4">
        <v>98036</v>
      </c>
      <c r="G995" s="4">
        <v>542885</v>
      </c>
      <c r="H995" s="2">
        <v>2046</v>
      </c>
      <c r="I995" s="16">
        <v>6</v>
      </c>
      <c r="J995" s="1">
        <v>45561</v>
      </c>
      <c r="K995" s="3">
        <v>0.18060000000000001</v>
      </c>
      <c r="L995" s="13">
        <f t="shared" si="33"/>
        <v>3.7687539718356557</v>
      </c>
      <c r="M995" s="16">
        <f t="shared" si="34"/>
        <v>16339.333333333334</v>
      </c>
    </row>
    <row r="996" spans="1:13" x14ac:dyDescent="0.3">
      <c r="A996">
        <v>100994</v>
      </c>
      <c r="B996" t="s">
        <v>19</v>
      </c>
      <c r="C996" t="s">
        <v>16</v>
      </c>
      <c r="D996" t="s">
        <v>24</v>
      </c>
      <c r="E996" s="1">
        <v>45556</v>
      </c>
      <c r="F996" s="4">
        <v>22563</v>
      </c>
      <c r="G996" s="4">
        <v>456338</v>
      </c>
      <c r="H996" s="2">
        <v>4230</v>
      </c>
      <c r="I996" s="16">
        <v>7</v>
      </c>
      <c r="J996" s="1">
        <v>45563</v>
      </c>
      <c r="K996" s="3">
        <v>4.9399999999999999E-2</v>
      </c>
      <c r="L996" s="13">
        <f t="shared" si="33"/>
        <v>9.2694450166324085</v>
      </c>
      <c r="M996" s="16">
        <f t="shared" si="34"/>
        <v>3223.2857142857142</v>
      </c>
    </row>
    <row r="997" spans="1:13" x14ac:dyDescent="0.3">
      <c r="A997">
        <v>100995</v>
      </c>
      <c r="B997" t="s">
        <v>13</v>
      </c>
      <c r="C997" t="s">
        <v>25</v>
      </c>
      <c r="D997" t="s">
        <v>12</v>
      </c>
      <c r="E997" s="1">
        <v>45557</v>
      </c>
      <c r="F997" s="4">
        <v>64470</v>
      </c>
      <c r="G997" s="4">
        <v>327764</v>
      </c>
      <c r="H997" s="2">
        <v>2838</v>
      </c>
      <c r="I997" s="16">
        <v>21</v>
      </c>
      <c r="J997" s="1">
        <v>45578</v>
      </c>
      <c r="K997" s="3">
        <v>0.19670000000000001</v>
      </c>
      <c r="L997" s="13">
        <f t="shared" si="33"/>
        <v>8.6586690423597474</v>
      </c>
      <c r="M997" s="16">
        <f t="shared" si="34"/>
        <v>3070</v>
      </c>
    </row>
    <row r="998" spans="1:13" x14ac:dyDescent="0.3">
      <c r="A998">
        <v>100996</v>
      </c>
      <c r="B998" t="s">
        <v>13</v>
      </c>
      <c r="C998" t="s">
        <v>14</v>
      </c>
      <c r="D998" t="s">
        <v>22</v>
      </c>
      <c r="E998" s="1">
        <v>45558</v>
      </c>
      <c r="F998" s="4">
        <v>27888</v>
      </c>
      <c r="G998" s="4">
        <v>52993</v>
      </c>
      <c r="H998" s="2">
        <v>2628</v>
      </c>
      <c r="I998" s="16">
        <v>9</v>
      </c>
      <c r="J998" s="1">
        <v>45567</v>
      </c>
      <c r="K998" s="3">
        <v>0.52629999999999999</v>
      </c>
      <c r="L998" s="13">
        <f t="shared" si="33"/>
        <v>49.59145547525145</v>
      </c>
      <c r="M998" s="16">
        <f t="shared" si="34"/>
        <v>3098.6666666666665</v>
      </c>
    </row>
    <row r="999" spans="1:13" x14ac:dyDescent="0.3">
      <c r="A999">
        <v>100997</v>
      </c>
      <c r="B999" t="s">
        <v>18</v>
      </c>
      <c r="C999" t="s">
        <v>21</v>
      </c>
      <c r="D999" t="s">
        <v>17</v>
      </c>
      <c r="E999" s="1">
        <v>45559</v>
      </c>
      <c r="F999" s="4">
        <v>59515</v>
      </c>
      <c r="G999" s="4">
        <v>924889</v>
      </c>
      <c r="H999" s="2">
        <v>2787</v>
      </c>
      <c r="I999" s="16">
        <v>7</v>
      </c>
      <c r="J999" s="1">
        <v>45566</v>
      </c>
      <c r="K999" s="3">
        <v>6.4299999999999996E-2</v>
      </c>
      <c r="L999" s="13">
        <f t="shared" si="33"/>
        <v>3.0133345731217474</v>
      </c>
      <c r="M999" s="16">
        <f t="shared" si="34"/>
        <v>8502.1428571428569</v>
      </c>
    </row>
    <row r="1000" spans="1:13" x14ac:dyDescent="0.3">
      <c r="A1000">
        <v>100998</v>
      </c>
      <c r="B1000" t="s">
        <v>19</v>
      </c>
      <c r="C1000" t="s">
        <v>14</v>
      </c>
      <c r="D1000" t="s">
        <v>15</v>
      </c>
      <c r="E1000" s="1">
        <v>45560</v>
      </c>
      <c r="F1000" s="4">
        <v>25653</v>
      </c>
      <c r="G1000" s="4">
        <v>879661</v>
      </c>
      <c r="H1000" s="2">
        <v>4645</v>
      </c>
      <c r="I1000" s="16">
        <v>15</v>
      </c>
      <c r="J1000" s="1">
        <v>45575</v>
      </c>
      <c r="K1000" s="3">
        <v>2.92E-2</v>
      </c>
      <c r="L1000" s="13">
        <f t="shared" si="33"/>
        <v>5.2804432616655737</v>
      </c>
      <c r="M1000" s="16">
        <f t="shared" si="34"/>
        <v>1710.2</v>
      </c>
    </row>
    <row r="1001" spans="1:13" x14ac:dyDescent="0.3">
      <c r="A1001">
        <v>100999</v>
      </c>
      <c r="B1001" t="s">
        <v>18</v>
      </c>
      <c r="C1001" t="s">
        <v>23</v>
      </c>
      <c r="D1001" t="s">
        <v>17</v>
      </c>
      <c r="E1001" s="1">
        <v>45561</v>
      </c>
      <c r="F1001" s="4">
        <v>62616</v>
      </c>
      <c r="G1001" s="4">
        <v>753385</v>
      </c>
      <c r="H1001" s="2">
        <v>3382</v>
      </c>
      <c r="I1001" s="16">
        <v>18</v>
      </c>
      <c r="J1001" s="1">
        <v>45579</v>
      </c>
      <c r="K1001" s="3">
        <v>8.3099999999999993E-2</v>
      </c>
      <c r="L1001" s="13">
        <f t="shared" si="33"/>
        <v>4.48907265209687</v>
      </c>
      <c r="M1001" s="16">
        <f t="shared" si="34"/>
        <v>3478.6666666666665</v>
      </c>
    </row>
    <row r="1002" spans="1:13" x14ac:dyDescent="0.3">
      <c r="A1002">
        <v>101000</v>
      </c>
      <c r="B1002" t="s">
        <v>18</v>
      </c>
      <c r="C1002" t="s">
        <v>21</v>
      </c>
      <c r="D1002" t="s">
        <v>17</v>
      </c>
      <c r="E1002" s="1">
        <v>45562</v>
      </c>
      <c r="F1002" s="4">
        <v>76686</v>
      </c>
      <c r="G1002" s="4">
        <v>845576</v>
      </c>
      <c r="H1002" s="2">
        <v>2046</v>
      </c>
      <c r="I1002" s="16">
        <v>7</v>
      </c>
      <c r="J1002" s="1">
        <v>45569</v>
      </c>
      <c r="K1002" s="3">
        <v>9.0700000000000003E-2</v>
      </c>
      <c r="L1002" s="13">
        <f t="shared" si="33"/>
        <v>2.419652402622591</v>
      </c>
      <c r="M1002" s="16">
        <f t="shared" si="34"/>
        <v>10955.142857142857</v>
      </c>
    </row>
    <row r="1003" spans="1:13" x14ac:dyDescent="0.3">
      <c r="A1003">
        <v>101001</v>
      </c>
      <c r="B1003" t="s">
        <v>13</v>
      </c>
      <c r="C1003" t="s">
        <v>21</v>
      </c>
      <c r="D1003" t="s">
        <v>17</v>
      </c>
      <c r="E1003" s="1">
        <v>45563</v>
      </c>
      <c r="F1003" s="4">
        <v>57151</v>
      </c>
      <c r="G1003" s="4">
        <v>20715</v>
      </c>
      <c r="H1003" s="2">
        <v>3032</v>
      </c>
      <c r="I1003" s="16">
        <v>2</v>
      </c>
      <c r="J1003" s="1">
        <v>45565</v>
      </c>
      <c r="K1003" s="3">
        <v>2.7589000000000001</v>
      </c>
      <c r="L1003" s="13">
        <f t="shared" si="33"/>
        <v>146.36736664252956</v>
      </c>
      <c r="M1003" s="16">
        <f t="shared" si="34"/>
        <v>28575.5</v>
      </c>
    </row>
    <row r="1004" spans="1:13" x14ac:dyDescent="0.3">
      <c r="A1004">
        <v>101002</v>
      </c>
      <c r="B1004" t="s">
        <v>18</v>
      </c>
      <c r="C1004" t="s">
        <v>11</v>
      </c>
      <c r="D1004" t="s">
        <v>22</v>
      </c>
      <c r="E1004" s="1">
        <v>45564</v>
      </c>
      <c r="F1004" s="4">
        <v>75895</v>
      </c>
      <c r="G1004" s="4">
        <v>991422</v>
      </c>
      <c r="H1004" s="2">
        <v>3891</v>
      </c>
      <c r="I1004" s="16">
        <v>17</v>
      </c>
      <c r="J1004" s="1">
        <v>45581</v>
      </c>
      <c r="K1004" s="3">
        <v>7.6600000000000001E-2</v>
      </c>
      <c r="L1004" s="13">
        <f t="shared" si="33"/>
        <v>3.9246657830873231</v>
      </c>
      <c r="M1004" s="16">
        <f t="shared" si="34"/>
        <v>4464.411764705882</v>
      </c>
    </row>
    <row r="1005" spans="1:13" x14ac:dyDescent="0.3">
      <c r="A1005">
        <v>101003</v>
      </c>
      <c r="B1005" t="s">
        <v>18</v>
      </c>
      <c r="C1005" t="s">
        <v>25</v>
      </c>
      <c r="D1005" t="s">
        <v>24</v>
      </c>
      <c r="E1005" s="1">
        <v>45565</v>
      </c>
      <c r="F1005" s="4">
        <v>82255</v>
      </c>
      <c r="G1005" s="4">
        <v>785007</v>
      </c>
      <c r="H1005" s="2">
        <v>10</v>
      </c>
      <c r="I1005" s="16">
        <v>17</v>
      </c>
      <c r="J1005" s="1">
        <v>45582</v>
      </c>
      <c r="K1005" s="3">
        <v>0.1048</v>
      </c>
      <c r="L1005" s="13">
        <f t="shared" si="33"/>
        <v>1.273873990932565E-2</v>
      </c>
      <c r="M1005" s="16">
        <f t="shared" si="34"/>
        <v>4838.5294117647063</v>
      </c>
    </row>
    <row r="1006" spans="1:13" x14ac:dyDescent="0.3">
      <c r="A1006">
        <v>101004</v>
      </c>
      <c r="B1006" t="s">
        <v>13</v>
      </c>
      <c r="C1006" t="s">
        <v>16</v>
      </c>
      <c r="D1006" t="s">
        <v>17</v>
      </c>
      <c r="E1006" s="1">
        <v>45566</v>
      </c>
      <c r="F1006" s="4">
        <v>24607</v>
      </c>
      <c r="G1006" s="4">
        <v>628814</v>
      </c>
      <c r="H1006" s="2">
        <v>1778</v>
      </c>
      <c r="I1006" s="16">
        <v>17</v>
      </c>
      <c r="J1006" s="1">
        <v>45583</v>
      </c>
      <c r="K1006" s="3">
        <v>3.9100000000000003E-2</v>
      </c>
      <c r="L1006" s="13">
        <f t="shared" si="33"/>
        <v>2.8275451882432643</v>
      </c>
      <c r="M1006" s="16">
        <f t="shared" si="34"/>
        <v>1447.4705882352941</v>
      </c>
    </row>
    <row r="1007" spans="1:13" x14ac:dyDescent="0.3">
      <c r="A1007">
        <v>101005</v>
      </c>
      <c r="B1007" t="s">
        <v>18</v>
      </c>
      <c r="C1007" t="s">
        <v>20</v>
      </c>
      <c r="D1007" t="s">
        <v>12</v>
      </c>
      <c r="E1007" s="1">
        <v>45567</v>
      </c>
      <c r="F1007" s="4">
        <v>58262</v>
      </c>
      <c r="G1007" s="4">
        <v>300799</v>
      </c>
      <c r="H1007" s="2">
        <v>190</v>
      </c>
      <c r="I1007" s="16">
        <v>5</v>
      </c>
      <c r="J1007" s="1">
        <v>45572</v>
      </c>
      <c r="K1007" s="3">
        <v>0.19370000000000001</v>
      </c>
      <c r="L1007" s="13">
        <f t="shared" si="33"/>
        <v>0.63165103607392314</v>
      </c>
      <c r="M1007" s="16">
        <f t="shared" si="34"/>
        <v>11652.4</v>
      </c>
    </row>
    <row r="1008" spans="1:13" x14ac:dyDescent="0.3">
      <c r="A1008">
        <v>101006</v>
      </c>
      <c r="B1008" t="s">
        <v>19</v>
      </c>
      <c r="C1008" t="s">
        <v>21</v>
      </c>
      <c r="D1008" t="s">
        <v>22</v>
      </c>
      <c r="E1008" s="1">
        <v>45568</v>
      </c>
      <c r="F1008" s="4">
        <v>24626</v>
      </c>
      <c r="G1008" s="4">
        <v>571171</v>
      </c>
      <c r="H1008" s="2">
        <v>4382</v>
      </c>
      <c r="I1008" s="16">
        <v>1</v>
      </c>
      <c r="J1008" s="1">
        <v>45569</v>
      </c>
      <c r="K1008" s="3">
        <v>4.3099999999999999E-2</v>
      </c>
      <c r="L1008" s="13">
        <f t="shared" si="33"/>
        <v>7.6719581351294099</v>
      </c>
      <c r="M1008" s="16">
        <f t="shared" si="34"/>
        <v>24626</v>
      </c>
    </row>
    <row r="1009" spans="1:13" x14ac:dyDescent="0.3">
      <c r="A1009">
        <v>101007</v>
      </c>
      <c r="B1009" t="s">
        <v>18</v>
      </c>
      <c r="C1009" t="s">
        <v>20</v>
      </c>
      <c r="D1009" t="s">
        <v>22</v>
      </c>
      <c r="E1009" s="1">
        <v>45569</v>
      </c>
      <c r="F1009" s="4">
        <v>48969</v>
      </c>
      <c r="G1009" s="4">
        <v>219369</v>
      </c>
      <c r="H1009" s="2">
        <v>3238</v>
      </c>
      <c r="I1009" s="16">
        <v>14</v>
      </c>
      <c r="J1009" s="1">
        <v>45583</v>
      </c>
      <c r="K1009" s="3">
        <v>0.22320000000000001</v>
      </c>
      <c r="L1009" s="13">
        <f t="shared" si="33"/>
        <v>14.760517666580053</v>
      </c>
      <c r="M1009" s="16">
        <f t="shared" si="34"/>
        <v>3497.7857142857142</v>
      </c>
    </row>
    <row r="1010" spans="1:13" x14ac:dyDescent="0.3">
      <c r="A1010">
        <v>101008</v>
      </c>
      <c r="B1010" t="s">
        <v>10</v>
      </c>
      <c r="C1010" t="s">
        <v>16</v>
      </c>
      <c r="D1010" t="s">
        <v>22</v>
      </c>
      <c r="E1010" s="1">
        <v>45570</v>
      </c>
      <c r="F1010" s="4">
        <v>94580</v>
      </c>
      <c r="G1010" s="4">
        <v>175391</v>
      </c>
      <c r="H1010" s="2">
        <v>2750</v>
      </c>
      <c r="I1010" s="16">
        <v>2</v>
      </c>
      <c r="J1010" s="1">
        <v>45572</v>
      </c>
      <c r="K1010" s="3">
        <v>0.5393</v>
      </c>
      <c r="L1010" s="13">
        <f t="shared" si="33"/>
        <v>15.679253781550935</v>
      </c>
      <c r="M1010" s="16">
        <f t="shared" si="34"/>
        <v>47290</v>
      </c>
    </row>
    <row r="1011" spans="1:13" x14ac:dyDescent="0.3">
      <c r="A1011">
        <v>101009</v>
      </c>
      <c r="B1011" t="s">
        <v>13</v>
      </c>
      <c r="C1011" t="s">
        <v>14</v>
      </c>
      <c r="D1011" t="s">
        <v>12</v>
      </c>
      <c r="E1011" s="1">
        <v>45571</v>
      </c>
      <c r="F1011" s="4">
        <v>67950</v>
      </c>
      <c r="G1011" s="4">
        <v>259651</v>
      </c>
      <c r="H1011" s="2">
        <v>1306</v>
      </c>
      <c r="I1011" s="16">
        <v>4</v>
      </c>
      <c r="J1011" s="1">
        <v>45575</v>
      </c>
      <c r="K1011" s="3">
        <v>0.26169999999999999</v>
      </c>
      <c r="L1011" s="13">
        <f t="shared" si="33"/>
        <v>5.0298285005642187</v>
      </c>
      <c r="M1011" s="16">
        <f t="shared" si="34"/>
        <v>16987.5</v>
      </c>
    </row>
    <row r="1012" spans="1:13" x14ac:dyDescent="0.3">
      <c r="A1012">
        <v>101010</v>
      </c>
      <c r="B1012" t="s">
        <v>13</v>
      </c>
      <c r="C1012" t="s">
        <v>14</v>
      </c>
      <c r="D1012" t="s">
        <v>17</v>
      </c>
      <c r="E1012" s="1">
        <v>45572</v>
      </c>
      <c r="F1012" s="4">
        <v>69070</v>
      </c>
      <c r="G1012" s="4">
        <v>302234</v>
      </c>
      <c r="H1012" s="2">
        <v>969</v>
      </c>
      <c r="I1012" s="16">
        <v>17</v>
      </c>
      <c r="J1012" s="1">
        <v>45589</v>
      </c>
      <c r="K1012" s="3">
        <v>0.22850000000000001</v>
      </c>
      <c r="L1012" s="13">
        <f t="shared" si="33"/>
        <v>3.2061250554206344</v>
      </c>
      <c r="M1012" s="16">
        <f t="shared" si="34"/>
        <v>4062.9411764705883</v>
      </c>
    </row>
    <row r="1013" spans="1:13" x14ac:dyDescent="0.3">
      <c r="A1013">
        <v>101011</v>
      </c>
      <c r="B1013" t="s">
        <v>13</v>
      </c>
      <c r="C1013" t="s">
        <v>21</v>
      </c>
      <c r="D1013" t="s">
        <v>24</v>
      </c>
      <c r="E1013" s="1">
        <v>45573</v>
      </c>
      <c r="F1013" s="4">
        <v>26194</v>
      </c>
      <c r="G1013" s="4">
        <v>774483</v>
      </c>
      <c r="H1013" s="2">
        <v>2445</v>
      </c>
      <c r="I1013" s="16">
        <v>16</v>
      </c>
      <c r="J1013" s="1">
        <v>45589</v>
      </c>
      <c r="K1013" s="3">
        <v>3.3799999999999997E-2</v>
      </c>
      <c r="L1013" s="13">
        <f t="shared" si="33"/>
        <v>3.1569446973012965</v>
      </c>
      <c r="M1013" s="16">
        <f t="shared" si="34"/>
        <v>1637.125</v>
      </c>
    </row>
    <row r="1014" spans="1:13" x14ac:dyDescent="0.3">
      <c r="A1014">
        <v>101012</v>
      </c>
      <c r="B1014" t="s">
        <v>13</v>
      </c>
      <c r="C1014" t="s">
        <v>25</v>
      </c>
      <c r="D1014" t="s">
        <v>22</v>
      </c>
      <c r="E1014" s="1">
        <v>45574</v>
      </c>
      <c r="F1014" s="4">
        <v>7904</v>
      </c>
      <c r="G1014" s="4">
        <v>22548</v>
      </c>
      <c r="H1014" s="2">
        <v>77</v>
      </c>
      <c r="I1014" s="16">
        <v>1</v>
      </c>
      <c r="J1014" s="1">
        <v>45575</v>
      </c>
      <c r="K1014" s="3">
        <v>0.35049999999999998</v>
      </c>
      <c r="L1014" s="13">
        <f t="shared" si="33"/>
        <v>3.4149370232393119</v>
      </c>
      <c r="M1014" s="16">
        <f t="shared" si="34"/>
        <v>7904</v>
      </c>
    </row>
    <row r="1015" spans="1:13" x14ac:dyDescent="0.3">
      <c r="A1015">
        <v>101013</v>
      </c>
      <c r="B1015" t="s">
        <v>19</v>
      </c>
      <c r="C1015" t="s">
        <v>14</v>
      </c>
      <c r="D1015" t="s">
        <v>22</v>
      </c>
      <c r="E1015" s="1">
        <v>45575</v>
      </c>
      <c r="F1015" s="4">
        <v>49247</v>
      </c>
      <c r="G1015" s="4">
        <v>823477</v>
      </c>
      <c r="H1015" s="2">
        <v>1292</v>
      </c>
      <c r="I1015" s="16">
        <v>4</v>
      </c>
      <c r="J1015" s="1">
        <v>45579</v>
      </c>
      <c r="K1015" s="3">
        <v>5.9799999999999999E-2</v>
      </c>
      <c r="L1015" s="13">
        <f t="shared" si="33"/>
        <v>1.5689569957630876</v>
      </c>
      <c r="M1015" s="16">
        <f t="shared" si="34"/>
        <v>12311.75</v>
      </c>
    </row>
    <row r="1016" spans="1:13" x14ac:dyDescent="0.3">
      <c r="A1016">
        <v>101014</v>
      </c>
      <c r="B1016" t="s">
        <v>18</v>
      </c>
      <c r="C1016" t="s">
        <v>23</v>
      </c>
      <c r="D1016" t="s">
        <v>22</v>
      </c>
      <c r="E1016" s="1">
        <v>45576</v>
      </c>
      <c r="F1016" s="4">
        <v>21452</v>
      </c>
      <c r="G1016" s="4">
        <v>630310</v>
      </c>
      <c r="H1016" s="2">
        <v>663</v>
      </c>
      <c r="I1016" s="16">
        <v>16</v>
      </c>
      <c r="J1016" s="1">
        <v>45592</v>
      </c>
      <c r="K1016" s="3">
        <v>3.4000000000000002E-2</v>
      </c>
      <c r="L1016" s="13">
        <f t="shared" si="33"/>
        <v>1.0518633688185179</v>
      </c>
      <c r="M1016" s="16">
        <f t="shared" si="34"/>
        <v>1340.75</v>
      </c>
    </row>
    <row r="1017" spans="1:13" x14ac:dyDescent="0.3">
      <c r="A1017">
        <v>101015</v>
      </c>
      <c r="B1017" t="s">
        <v>18</v>
      </c>
      <c r="C1017" t="s">
        <v>25</v>
      </c>
      <c r="D1017" t="s">
        <v>12</v>
      </c>
      <c r="E1017" s="1">
        <v>45577</v>
      </c>
      <c r="F1017" s="4">
        <v>51315</v>
      </c>
      <c r="G1017" s="4">
        <v>256142</v>
      </c>
      <c r="H1017" s="2">
        <v>915</v>
      </c>
      <c r="I1017" s="16">
        <v>27</v>
      </c>
      <c r="J1017" s="1">
        <v>45604</v>
      </c>
      <c r="K1017" s="3">
        <v>0.20030000000000001</v>
      </c>
      <c r="L1017" s="13">
        <f t="shared" si="33"/>
        <v>3.5722372746367252</v>
      </c>
      <c r="M1017" s="16">
        <f t="shared" si="34"/>
        <v>1900.5555555555557</v>
      </c>
    </row>
    <row r="1018" spans="1:13" x14ac:dyDescent="0.3">
      <c r="A1018">
        <v>101016</v>
      </c>
      <c r="B1018" t="s">
        <v>13</v>
      </c>
      <c r="C1018" t="s">
        <v>11</v>
      </c>
      <c r="D1018" t="s">
        <v>24</v>
      </c>
      <c r="E1018" s="1">
        <v>45578</v>
      </c>
      <c r="F1018" s="4">
        <v>70315</v>
      </c>
      <c r="G1018" s="4">
        <v>846834</v>
      </c>
      <c r="H1018" s="2">
        <v>4815</v>
      </c>
      <c r="I1018" s="16">
        <v>20</v>
      </c>
      <c r="J1018" s="1">
        <v>45598</v>
      </c>
      <c r="K1018" s="3">
        <v>8.3000000000000004E-2</v>
      </c>
      <c r="L1018" s="13">
        <f t="shared" si="33"/>
        <v>5.6858841284124164</v>
      </c>
      <c r="M1018" s="16">
        <f t="shared" si="34"/>
        <v>3515.75</v>
      </c>
    </row>
    <row r="1019" spans="1:13" x14ac:dyDescent="0.3">
      <c r="A1019">
        <v>101017</v>
      </c>
      <c r="B1019" t="s">
        <v>10</v>
      </c>
      <c r="C1019" t="s">
        <v>20</v>
      </c>
      <c r="D1019" t="s">
        <v>17</v>
      </c>
      <c r="E1019" s="1">
        <v>45579</v>
      </c>
      <c r="F1019" s="4">
        <v>73541</v>
      </c>
      <c r="G1019" s="4">
        <v>94547</v>
      </c>
      <c r="H1019" s="2">
        <v>2012</v>
      </c>
      <c r="I1019" s="16">
        <v>14</v>
      </c>
      <c r="J1019" s="1">
        <v>45593</v>
      </c>
      <c r="K1019" s="3">
        <v>0.77780000000000005</v>
      </c>
      <c r="L1019" s="13">
        <f t="shared" si="33"/>
        <v>21.280421377727478</v>
      </c>
      <c r="M1019" s="16">
        <f t="shared" si="34"/>
        <v>5252.9285714285716</v>
      </c>
    </row>
    <row r="1020" spans="1:13" x14ac:dyDescent="0.3">
      <c r="A1020">
        <v>101018</v>
      </c>
      <c r="B1020" t="s">
        <v>18</v>
      </c>
      <c r="C1020" t="s">
        <v>21</v>
      </c>
      <c r="D1020" t="s">
        <v>17</v>
      </c>
      <c r="E1020" s="1">
        <v>45580</v>
      </c>
      <c r="F1020" s="4">
        <v>31960</v>
      </c>
      <c r="G1020" s="4">
        <v>293661</v>
      </c>
      <c r="H1020" s="2">
        <v>429</v>
      </c>
      <c r="I1020" s="16">
        <v>23</v>
      </c>
      <c r="J1020" s="1">
        <v>45603</v>
      </c>
      <c r="K1020" s="3">
        <v>0.10879999999999999</v>
      </c>
      <c r="L1020" s="13">
        <f t="shared" si="33"/>
        <v>1.4608681438801883</v>
      </c>
      <c r="M1020" s="16">
        <f t="shared" si="34"/>
        <v>1389.5652173913043</v>
      </c>
    </row>
    <row r="1021" spans="1:13" x14ac:dyDescent="0.3">
      <c r="A1021">
        <v>101019</v>
      </c>
      <c r="B1021" t="s">
        <v>13</v>
      </c>
      <c r="C1021" t="s">
        <v>11</v>
      </c>
      <c r="D1021" t="s">
        <v>15</v>
      </c>
      <c r="E1021" s="1">
        <v>45581</v>
      </c>
      <c r="F1021" s="4">
        <v>24179</v>
      </c>
      <c r="G1021" s="4">
        <v>520700</v>
      </c>
      <c r="H1021" s="2">
        <v>2082</v>
      </c>
      <c r="I1021" s="16">
        <v>14</v>
      </c>
      <c r="J1021" s="1">
        <v>45595</v>
      </c>
      <c r="K1021" s="3">
        <v>4.6399999999999997E-2</v>
      </c>
      <c r="L1021" s="13">
        <f t="shared" si="33"/>
        <v>3.9984636066833112</v>
      </c>
      <c r="M1021" s="16">
        <f t="shared" si="34"/>
        <v>1727.0714285714287</v>
      </c>
    </row>
    <row r="1022" spans="1:13" x14ac:dyDescent="0.3">
      <c r="A1022">
        <v>101020</v>
      </c>
      <c r="B1022" t="s">
        <v>10</v>
      </c>
      <c r="C1022" t="s">
        <v>11</v>
      </c>
      <c r="D1022" t="s">
        <v>17</v>
      </c>
      <c r="E1022" s="1">
        <v>45582</v>
      </c>
      <c r="F1022" s="4">
        <v>82556</v>
      </c>
      <c r="G1022" s="4">
        <v>710493</v>
      </c>
      <c r="H1022" s="2">
        <v>700</v>
      </c>
      <c r="I1022" s="16">
        <v>28</v>
      </c>
      <c r="J1022" s="1">
        <v>45610</v>
      </c>
      <c r="K1022" s="3">
        <v>0.1162</v>
      </c>
      <c r="L1022" s="13">
        <f t="shared" si="33"/>
        <v>0.98523138158996648</v>
      </c>
      <c r="M1022" s="16">
        <f t="shared" si="34"/>
        <v>2948.4285714285716</v>
      </c>
    </row>
    <row r="1023" spans="1:13" x14ac:dyDescent="0.3">
      <c r="A1023">
        <v>101021</v>
      </c>
      <c r="B1023" t="s">
        <v>10</v>
      </c>
      <c r="C1023" t="s">
        <v>20</v>
      </c>
      <c r="D1023" t="s">
        <v>17</v>
      </c>
      <c r="E1023" s="1">
        <v>45583</v>
      </c>
      <c r="F1023" s="4">
        <v>84862</v>
      </c>
      <c r="G1023" s="4">
        <v>901550</v>
      </c>
      <c r="H1023" s="2">
        <v>1658</v>
      </c>
      <c r="I1023" s="16">
        <v>25</v>
      </c>
      <c r="J1023" s="1">
        <v>45608</v>
      </c>
      <c r="K1023" s="3">
        <v>9.4100000000000003E-2</v>
      </c>
      <c r="L1023" s="13">
        <f t="shared" si="33"/>
        <v>1.839054960900671</v>
      </c>
      <c r="M1023" s="16">
        <f t="shared" si="34"/>
        <v>3394.48</v>
      </c>
    </row>
    <row r="1024" spans="1:13" x14ac:dyDescent="0.3">
      <c r="A1024">
        <v>101022</v>
      </c>
      <c r="B1024" t="s">
        <v>19</v>
      </c>
      <c r="C1024" t="s">
        <v>20</v>
      </c>
      <c r="D1024" t="s">
        <v>12</v>
      </c>
      <c r="E1024" s="1">
        <v>45584</v>
      </c>
      <c r="F1024" s="4">
        <v>76110</v>
      </c>
      <c r="G1024" s="4">
        <v>892070</v>
      </c>
      <c r="H1024" s="2">
        <v>2419</v>
      </c>
      <c r="I1024" s="16">
        <v>24</v>
      </c>
      <c r="J1024" s="1">
        <v>45608</v>
      </c>
      <c r="K1024" s="3">
        <v>8.5300000000000001E-2</v>
      </c>
      <c r="L1024" s="13">
        <f t="shared" si="33"/>
        <v>2.7116706088087259</v>
      </c>
      <c r="M1024" s="16">
        <f t="shared" si="34"/>
        <v>3171.25</v>
      </c>
    </row>
    <row r="1025" spans="1:13" x14ac:dyDescent="0.3">
      <c r="A1025">
        <v>101023</v>
      </c>
      <c r="B1025" t="s">
        <v>13</v>
      </c>
      <c r="C1025" t="s">
        <v>16</v>
      </c>
      <c r="D1025" t="s">
        <v>24</v>
      </c>
      <c r="E1025" s="1">
        <v>45585</v>
      </c>
      <c r="F1025" s="4">
        <v>61535</v>
      </c>
      <c r="G1025" s="4">
        <v>637899</v>
      </c>
      <c r="H1025" s="2">
        <v>2292</v>
      </c>
      <c r="I1025" s="16">
        <v>18</v>
      </c>
      <c r="J1025" s="1">
        <v>45603</v>
      </c>
      <c r="K1025" s="3">
        <v>9.6500000000000002E-2</v>
      </c>
      <c r="L1025" s="13">
        <f t="shared" si="33"/>
        <v>3.5930452940042232</v>
      </c>
      <c r="M1025" s="16">
        <f t="shared" si="34"/>
        <v>3418.6111111111113</v>
      </c>
    </row>
    <row r="1026" spans="1:13" x14ac:dyDescent="0.3">
      <c r="A1026">
        <v>101024</v>
      </c>
      <c r="B1026" t="s">
        <v>13</v>
      </c>
      <c r="C1026" t="s">
        <v>23</v>
      </c>
      <c r="D1026" t="s">
        <v>15</v>
      </c>
      <c r="E1026" s="1">
        <v>45586</v>
      </c>
      <c r="F1026" s="4">
        <v>73544</v>
      </c>
      <c r="G1026" s="4">
        <v>464292</v>
      </c>
      <c r="H1026" s="2">
        <v>65</v>
      </c>
      <c r="I1026" s="16">
        <v>18</v>
      </c>
      <c r="J1026" s="1">
        <v>45604</v>
      </c>
      <c r="K1026" s="3">
        <v>0.15840000000000001</v>
      </c>
      <c r="L1026" s="13">
        <f t="shared" ref="L1026:L1089" si="35">H1026/G1026*1000</f>
        <v>0.13999810464104487</v>
      </c>
      <c r="M1026" s="16">
        <f t="shared" ref="M1026:M1089" si="36">IFERROR(F1026/I1026,"No Data")</f>
        <v>4085.7777777777778</v>
      </c>
    </row>
    <row r="1027" spans="1:13" x14ac:dyDescent="0.3">
      <c r="A1027">
        <v>101025</v>
      </c>
      <c r="B1027" t="s">
        <v>18</v>
      </c>
      <c r="C1027" t="s">
        <v>14</v>
      </c>
      <c r="D1027" t="s">
        <v>12</v>
      </c>
      <c r="E1027" s="1">
        <v>45587</v>
      </c>
      <c r="F1027" s="4">
        <v>61844</v>
      </c>
      <c r="G1027" s="4">
        <v>214838</v>
      </c>
      <c r="H1027" s="2">
        <v>4717</v>
      </c>
      <c r="I1027" s="16">
        <v>11</v>
      </c>
      <c r="J1027" s="1">
        <v>45598</v>
      </c>
      <c r="K1027" s="3">
        <v>0.28789999999999999</v>
      </c>
      <c r="L1027" s="13">
        <f t="shared" si="35"/>
        <v>21.956078533592752</v>
      </c>
      <c r="M1027" s="16">
        <f t="shared" si="36"/>
        <v>5622.181818181818</v>
      </c>
    </row>
    <row r="1028" spans="1:13" x14ac:dyDescent="0.3">
      <c r="A1028">
        <v>101026</v>
      </c>
      <c r="B1028" t="s">
        <v>19</v>
      </c>
      <c r="C1028" t="s">
        <v>14</v>
      </c>
      <c r="D1028" t="s">
        <v>24</v>
      </c>
      <c r="E1028" s="1">
        <v>45588</v>
      </c>
      <c r="F1028" s="4">
        <v>44670</v>
      </c>
      <c r="G1028" s="4">
        <v>767421</v>
      </c>
      <c r="H1028" s="2">
        <v>1439</v>
      </c>
      <c r="I1028" s="16">
        <v>24</v>
      </c>
      <c r="J1028" s="1">
        <v>45612</v>
      </c>
      <c r="K1028" s="3">
        <v>5.8200000000000002E-2</v>
      </c>
      <c r="L1028" s="13">
        <f t="shared" si="35"/>
        <v>1.8751115750025082</v>
      </c>
      <c r="M1028" s="16">
        <f t="shared" si="36"/>
        <v>1861.25</v>
      </c>
    </row>
    <row r="1029" spans="1:13" x14ac:dyDescent="0.3">
      <c r="A1029">
        <v>101027</v>
      </c>
      <c r="B1029" t="s">
        <v>18</v>
      </c>
      <c r="C1029" t="s">
        <v>16</v>
      </c>
      <c r="D1029" t="s">
        <v>12</v>
      </c>
      <c r="E1029" s="1">
        <v>45589</v>
      </c>
      <c r="F1029" s="4">
        <v>74456</v>
      </c>
      <c r="G1029" s="4">
        <v>293489</v>
      </c>
      <c r="H1029" s="2">
        <v>109</v>
      </c>
      <c r="I1029" s="16">
        <v>18</v>
      </c>
      <c r="J1029" s="1">
        <v>45607</v>
      </c>
      <c r="K1029" s="3">
        <v>0.25369999999999998</v>
      </c>
      <c r="L1029" s="13">
        <f t="shared" si="35"/>
        <v>0.37139381714476521</v>
      </c>
      <c r="M1029" s="16">
        <f t="shared" si="36"/>
        <v>4136.4444444444443</v>
      </c>
    </row>
    <row r="1030" spans="1:13" x14ac:dyDescent="0.3">
      <c r="A1030">
        <v>101028</v>
      </c>
      <c r="B1030" t="s">
        <v>10</v>
      </c>
      <c r="C1030" t="s">
        <v>25</v>
      </c>
      <c r="D1030" t="s">
        <v>15</v>
      </c>
      <c r="E1030" s="1">
        <v>45590</v>
      </c>
      <c r="F1030" s="4">
        <v>28617</v>
      </c>
      <c r="G1030" s="4">
        <v>733903</v>
      </c>
      <c r="H1030" s="2">
        <v>2547</v>
      </c>
      <c r="I1030" s="16">
        <v>10</v>
      </c>
      <c r="J1030" s="1">
        <v>45600</v>
      </c>
      <c r="K1030" s="3">
        <v>3.9E-2</v>
      </c>
      <c r="L1030" s="13">
        <f t="shared" si="35"/>
        <v>3.4704858816492101</v>
      </c>
      <c r="M1030" s="16">
        <f t="shared" si="36"/>
        <v>2861.7</v>
      </c>
    </row>
    <row r="1031" spans="1:13" x14ac:dyDescent="0.3">
      <c r="A1031">
        <v>101029</v>
      </c>
      <c r="B1031" t="s">
        <v>13</v>
      </c>
      <c r="C1031" t="s">
        <v>25</v>
      </c>
      <c r="D1031" t="s">
        <v>24</v>
      </c>
      <c r="E1031" s="1">
        <v>45591</v>
      </c>
      <c r="F1031" s="4">
        <v>79602</v>
      </c>
      <c r="G1031" s="4">
        <v>344484</v>
      </c>
      <c r="H1031" s="2">
        <v>404</v>
      </c>
      <c r="I1031" s="16">
        <v>2</v>
      </c>
      <c r="J1031" s="1">
        <v>45593</v>
      </c>
      <c r="K1031" s="3">
        <v>0.2311</v>
      </c>
      <c r="L1031" s="13">
        <f t="shared" si="35"/>
        <v>1.1727685465798121</v>
      </c>
      <c r="M1031" s="16">
        <f t="shared" si="36"/>
        <v>39801</v>
      </c>
    </row>
    <row r="1032" spans="1:13" x14ac:dyDescent="0.3">
      <c r="A1032">
        <v>101030</v>
      </c>
      <c r="B1032" t="s">
        <v>13</v>
      </c>
      <c r="C1032" t="s">
        <v>21</v>
      </c>
      <c r="D1032" t="s">
        <v>12</v>
      </c>
      <c r="E1032" s="1">
        <v>45592</v>
      </c>
      <c r="F1032" s="4">
        <v>17363</v>
      </c>
      <c r="G1032" s="4">
        <v>228642</v>
      </c>
      <c r="H1032" s="2">
        <v>3722</v>
      </c>
      <c r="I1032" s="16">
        <v>20</v>
      </c>
      <c r="J1032" s="1">
        <v>45612</v>
      </c>
      <c r="K1032" s="3">
        <v>7.5899999999999995E-2</v>
      </c>
      <c r="L1032" s="13">
        <f t="shared" si="35"/>
        <v>16.278723943982296</v>
      </c>
      <c r="M1032" s="16">
        <f t="shared" si="36"/>
        <v>868.15</v>
      </c>
    </row>
    <row r="1033" spans="1:13" x14ac:dyDescent="0.3">
      <c r="A1033">
        <v>101031</v>
      </c>
      <c r="B1033" t="s">
        <v>10</v>
      </c>
      <c r="C1033" t="s">
        <v>20</v>
      </c>
      <c r="D1033" t="s">
        <v>17</v>
      </c>
      <c r="E1033" s="1">
        <v>45593</v>
      </c>
      <c r="F1033" s="4">
        <v>57885</v>
      </c>
      <c r="G1033" s="4">
        <v>615330</v>
      </c>
      <c r="H1033" s="2">
        <v>4497</v>
      </c>
      <c r="I1033" s="16">
        <v>9</v>
      </c>
      <c r="J1033" s="1">
        <v>45602</v>
      </c>
      <c r="K1033" s="3">
        <v>9.4100000000000003E-2</v>
      </c>
      <c r="L1033" s="13">
        <f t="shared" si="35"/>
        <v>7.3082736092828231</v>
      </c>
      <c r="M1033" s="16">
        <f t="shared" si="36"/>
        <v>6431.666666666667</v>
      </c>
    </row>
    <row r="1034" spans="1:13" x14ac:dyDescent="0.3">
      <c r="A1034">
        <v>101032</v>
      </c>
      <c r="B1034" t="s">
        <v>13</v>
      </c>
      <c r="C1034" t="s">
        <v>11</v>
      </c>
      <c r="D1034" t="s">
        <v>12</v>
      </c>
      <c r="E1034" s="1">
        <v>45594</v>
      </c>
      <c r="F1034" s="4">
        <v>32595</v>
      </c>
      <c r="G1034" s="4">
        <v>290299</v>
      </c>
      <c r="H1034" s="2">
        <v>3546</v>
      </c>
      <c r="I1034" s="16">
        <v>28</v>
      </c>
      <c r="J1034" s="1">
        <v>45622</v>
      </c>
      <c r="K1034" s="3">
        <v>0.1123</v>
      </c>
      <c r="L1034" s="13">
        <f t="shared" si="35"/>
        <v>12.214992128805129</v>
      </c>
      <c r="M1034" s="16">
        <f t="shared" si="36"/>
        <v>1164.1071428571429</v>
      </c>
    </row>
    <row r="1035" spans="1:13" x14ac:dyDescent="0.3">
      <c r="A1035">
        <v>101033</v>
      </c>
      <c r="B1035" t="s">
        <v>19</v>
      </c>
      <c r="C1035" t="s">
        <v>20</v>
      </c>
      <c r="D1035" t="s">
        <v>22</v>
      </c>
      <c r="E1035" s="1">
        <v>45595</v>
      </c>
      <c r="F1035" s="4">
        <v>53278</v>
      </c>
      <c r="G1035" s="4">
        <v>538349</v>
      </c>
      <c r="H1035" s="2">
        <v>168</v>
      </c>
      <c r="I1035" s="16">
        <v>12</v>
      </c>
      <c r="J1035" s="1">
        <v>45607</v>
      </c>
      <c r="K1035" s="3">
        <v>9.9000000000000005E-2</v>
      </c>
      <c r="L1035" s="13">
        <f t="shared" si="35"/>
        <v>0.31206522163132094</v>
      </c>
      <c r="M1035" s="16">
        <f t="shared" si="36"/>
        <v>4439.833333333333</v>
      </c>
    </row>
    <row r="1036" spans="1:13" x14ac:dyDescent="0.3">
      <c r="A1036">
        <v>101034</v>
      </c>
      <c r="B1036" t="s">
        <v>13</v>
      </c>
      <c r="C1036" t="s">
        <v>21</v>
      </c>
      <c r="D1036" t="s">
        <v>24</v>
      </c>
      <c r="E1036" s="1">
        <v>45596</v>
      </c>
      <c r="F1036" s="4">
        <v>72450</v>
      </c>
      <c r="G1036" s="4">
        <v>862362</v>
      </c>
      <c r="H1036" s="2">
        <v>2193</v>
      </c>
      <c r="I1036" s="16">
        <v>1</v>
      </c>
      <c r="J1036" s="1">
        <v>45597</v>
      </c>
      <c r="K1036" s="3">
        <v>8.4000000000000005E-2</v>
      </c>
      <c r="L1036" s="13">
        <f t="shared" si="35"/>
        <v>2.543015578144677</v>
      </c>
      <c r="M1036" s="16">
        <f t="shared" si="36"/>
        <v>72450</v>
      </c>
    </row>
    <row r="1037" spans="1:13" x14ac:dyDescent="0.3">
      <c r="A1037">
        <v>101035</v>
      </c>
      <c r="B1037" t="s">
        <v>13</v>
      </c>
      <c r="C1037" t="s">
        <v>20</v>
      </c>
      <c r="D1037" t="s">
        <v>22</v>
      </c>
      <c r="E1037" s="1">
        <v>45597</v>
      </c>
      <c r="F1037" s="4">
        <v>97330</v>
      </c>
      <c r="G1037" s="4">
        <v>563023</v>
      </c>
      <c r="H1037" s="2">
        <v>3833</v>
      </c>
      <c r="I1037" s="16">
        <v>19</v>
      </c>
      <c r="J1037" s="1">
        <v>45616</v>
      </c>
      <c r="K1037" s="3">
        <v>0.1729</v>
      </c>
      <c r="L1037" s="13">
        <f t="shared" si="35"/>
        <v>6.8078923951597003</v>
      </c>
      <c r="M1037" s="16">
        <f t="shared" si="36"/>
        <v>5122.6315789473683</v>
      </c>
    </row>
    <row r="1038" spans="1:13" x14ac:dyDescent="0.3">
      <c r="A1038">
        <v>101036</v>
      </c>
      <c r="B1038" t="s">
        <v>18</v>
      </c>
      <c r="C1038" t="s">
        <v>25</v>
      </c>
      <c r="D1038" t="s">
        <v>12</v>
      </c>
      <c r="E1038" s="1">
        <v>45598</v>
      </c>
      <c r="F1038" s="4">
        <v>92953</v>
      </c>
      <c r="G1038" s="4">
        <v>366478</v>
      </c>
      <c r="H1038" s="2">
        <v>895</v>
      </c>
      <c r="I1038" s="16">
        <v>17</v>
      </c>
      <c r="J1038" s="1">
        <v>45615</v>
      </c>
      <c r="K1038" s="3">
        <v>0.25359999999999999</v>
      </c>
      <c r="L1038" s="13">
        <f t="shared" si="35"/>
        <v>2.4421656961673004</v>
      </c>
      <c r="M1038" s="16">
        <f t="shared" si="36"/>
        <v>5467.8235294117649</v>
      </c>
    </row>
    <row r="1039" spans="1:13" x14ac:dyDescent="0.3">
      <c r="A1039">
        <v>101037</v>
      </c>
      <c r="B1039" t="s">
        <v>13</v>
      </c>
      <c r="C1039" t="s">
        <v>25</v>
      </c>
      <c r="D1039" t="s">
        <v>22</v>
      </c>
      <c r="E1039" s="1">
        <v>45599</v>
      </c>
      <c r="F1039" s="4">
        <v>31681</v>
      </c>
      <c r="G1039" s="4">
        <v>435815</v>
      </c>
      <c r="H1039" s="2">
        <v>3635</v>
      </c>
      <c r="I1039" s="16">
        <v>22</v>
      </c>
      <c r="J1039" s="1">
        <v>45621</v>
      </c>
      <c r="K1039" s="3">
        <v>7.2700000000000001E-2</v>
      </c>
      <c r="L1039" s="13">
        <f t="shared" si="35"/>
        <v>8.3406950196757812</v>
      </c>
      <c r="M1039" s="16">
        <f t="shared" si="36"/>
        <v>1440.0454545454545</v>
      </c>
    </row>
    <row r="1040" spans="1:13" x14ac:dyDescent="0.3">
      <c r="A1040">
        <v>101038</v>
      </c>
      <c r="B1040" t="s">
        <v>13</v>
      </c>
      <c r="C1040" t="s">
        <v>11</v>
      </c>
      <c r="D1040" t="s">
        <v>12</v>
      </c>
      <c r="E1040" s="1">
        <v>45600</v>
      </c>
      <c r="F1040" s="4">
        <v>11880</v>
      </c>
      <c r="G1040" s="4">
        <v>188042</v>
      </c>
      <c r="H1040" s="2">
        <v>2271</v>
      </c>
      <c r="I1040" s="16">
        <v>5</v>
      </c>
      <c r="J1040" s="1">
        <v>45605</v>
      </c>
      <c r="K1040" s="3">
        <v>6.3200000000000006E-2</v>
      </c>
      <c r="L1040" s="13">
        <f t="shared" si="35"/>
        <v>12.077089160932131</v>
      </c>
      <c r="M1040" s="16">
        <f t="shared" si="36"/>
        <v>2376</v>
      </c>
    </row>
    <row r="1041" spans="1:13" x14ac:dyDescent="0.3">
      <c r="A1041">
        <v>101039</v>
      </c>
      <c r="B1041" t="s">
        <v>18</v>
      </c>
      <c r="C1041" t="s">
        <v>25</v>
      </c>
      <c r="D1041" t="s">
        <v>22</v>
      </c>
      <c r="E1041" s="1">
        <v>45601</v>
      </c>
      <c r="F1041" s="4">
        <v>24377</v>
      </c>
      <c r="G1041" s="4">
        <v>209808</v>
      </c>
      <c r="H1041" s="2">
        <v>3366</v>
      </c>
      <c r="I1041" s="16">
        <v>25</v>
      </c>
      <c r="J1041" s="1">
        <v>45626</v>
      </c>
      <c r="K1041" s="3">
        <v>0.1162</v>
      </c>
      <c r="L1041" s="13">
        <f t="shared" si="35"/>
        <v>16.043239533287579</v>
      </c>
      <c r="M1041" s="16">
        <f t="shared" si="36"/>
        <v>975.08</v>
      </c>
    </row>
    <row r="1042" spans="1:13" x14ac:dyDescent="0.3">
      <c r="A1042">
        <v>101040</v>
      </c>
      <c r="B1042" t="s">
        <v>18</v>
      </c>
      <c r="C1042" t="s">
        <v>16</v>
      </c>
      <c r="D1042" t="s">
        <v>22</v>
      </c>
      <c r="E1042" s="1">
        <v>45602</v>
      </c>
      <c r="F1042" s="4">
        <v>72152</v>
      </c>
      <c r="G1042" s="4">
        <v>418051</v>
      </c>
      <c r="H1042" s="2">
        <v>4337</v>
      </c>
      <c r="I1042" s="16">
        <v>21</v>
      </c>
      <c r="J1042" s="1">
        <v>45623</v>
      </c>
      <c r="K1042" s="3">
        <v>0.1726</v>
      </c>
      <c r="L1042" s="13">
        <f t="shared" si="35"/>
        <v>10.374332318305662</v>
      </c>
      <c r="M1042" s="16">
        <f t="shared" si="36"/>
        <v>3435.8095238095239</v>
      </c>
    </row>
    <row r="1043" spans="1:13" x14ac:dyDescent="0.3">
      <c r="A1043">
        <v>101041</v>
      </c>
      <c r="B1043" t="s">
        <v>13</v>
      </c>
      <c r="C1043" t="s">
        <v>14</v>
      </c>
      <c r="D1043" t="s">
        <v>15</v>
      </c>
      <c r="E1043" s="1">
        <v>45603</v>
      </c>
      <c r="F1043" s="4">
        <v>32278</v>
      </c>
      <c r="G1043" s="4">
        <v>949979</v>
      </c>
      <c r="H1043" s="2">
        <v>314</v>
      </c>
      <c r="I1043" s="16">
        <v>6</v>
      </c>
      <c r="J1043" s="1">
        <v>45609</v>
      </c>
      <c r="K1043" s="3">
        <v>3.4000000000000002E-2</v>
      </c>
      <c r="L1043" s="13">
        <f t="shared" si="35"/>
        <v>0.33053362232217764</v>
      </c>
      <c r="M1043" s="16">
        <f t="shared" si="36"/>
        <v>5379.666666666667</v>
      </c>
    </row>
    <row r="1044" spans="1:13" x14ac:dyDescent="0.3">
      <c r="A1044">
        <v>101042</v>
      </c>
      <c r="B1044" t="s">
        <v>13</v>
      </c>
      <c r="C1044" t="s">
        <v>23</v>
      </c>
      <c r="D1044" t="s">
        <v>17</v>
      </c>
      <c r="E1044" s="1">
        <v>45604</v>
      </c>
      <c r="F1044" s="4">
        <v>68341</v>
      </c>
      <c r="G1044" s="4">
        <v>312578</v>
      </c>
      <c r="H1044" s="2">
        <v>3482</v>
      </c>
      <c r="I1044" s="16">
        <v>14</v>
      </c>
      <c r="J1044" s="1">
        <v>45618</v>
      </c>
      <c r="K1044" s="3">
        <v>0.21859999999999999</v>
      </c>
      <c r="L1044" s="13">
        <f t="shared" si="35"/>
        <v>11.139619550960079</v>
      </c>
      <c r="M1044" s="16">
        <f t="shared" si="36"/>
        <v>4881.5</v>
      </c>
    </row>
    <row r="1045" spans="1:13" x14ac:dyDescent="0.3">
      <c r="A1045">
        <v>101043</v>
      </c>
      <c r="B1045" t="s">
        <v>13</v>
      </c>
      <c r="C1045" t="s">
        <v>20</v>
      </c>
      <c r="D1045" t="s">
        <v>12</v>
      </c>
      <c r="E1045" s="1">
        <v>45605</v>
      </c>
      <c r="F1045" s="4">
        <v>79804</v>
      </c>
      <c r="G1045" s="4">
        <v>806063</v>
      </c>
      <c r="H1045" s="2">
        <v>4279</v>
      </c>
      <c r="I1045" s="16">
        <v>6</v>
      </c>
      <c r="J1045" s="1">
        <v>45611</v>
      </c>
      <c r="K1045" s="3">
        <v>9.9000000000000005E-2</v>
      </c>
      <c r="L1045" s="13">
        <f t="shared" si="35"/>
        <v>5.3085180686869391</v>
      </c>
      <c r="M1045" s="16">
        <f t="shared" si="36"/>
        <v>13300.666666666666</v>
      </c>
    </row>
    <row r="1046" spans="1:13" x14ac:dyDescent="0.3">
      <c r="A1046">
        <v>101044</v>
      </c>
      <c r="B1046" t="s">
        <v>18</v>
      </c>
      <c r="C1046" t="s">
        <v>14</v>
      </c>
      <c r="D1046" t="s">
        <v>15</v>
      </c>
      <c r="E1046" s="1">
        <v>45606</v>
      </c>
      <c r="F1046" s="4">
        <v>24817</v>
      </c>
      <c r="G1046" s="4">
        <v>209006</v>
      </c>
      <c r="H1046" s="2">
        <v>453</v>
      </c>
      <c r="I1046" s="16">
        <v>23</v>
      </c>
      <c r="J1046" s="1">
        <v>45629</v>
      </c>
      <c r="K1046" s="3">
        <v>0.1187</v>
      </c>
      <c r="L1046" s="13">
        <f t="shared" si="35"/>
        <v>2.1674018927686287</v>
      </c>
      <c r="M1046" s="16">
        <f t="shared" si="36"/>
        <v>1079</v>
      </c>
    </row>
    <row r="1047" spans="1:13" x14ac:dyDescent="0.3">
      <c r="A1047">
        <v>101045</v>
      </c>
      <c r="B1047" t="s">
        <v>18</v>
      </c>
      <c r="C1047" t="s">
        <v>21</v>
      </c>
      <c r="D1047" t="s">
        <v>12</v>
      </c>
      <c r="E1047" s="1">
        <v>45607</v>
      </c>
      <c r="F1047" s="4">
        <v>50816</v>
      </c>
      <c r="G1047" s="4">
        <v>333523</v>
      </c>
      <c r="H1047" s="2">
        <v>2167</v>
      </c>
      <c r="I1047" s="16">
        <v>29</v>
      </c>
      <c r="J1047" s="1">
        <v>45636</v>
      </c>
      <c r="K1047" s="3">
        <v>0.15240000000000001</v>
      </c>
      <c r="L1047" s="13">
        <f t="shared" si="35"/>
        <v>6.4973030345733278</v>
      </c>
      <c r="M1047" s="16">
        <f t="shared" si="36"/>
        <v>1752.2758620689656</v>
      </c>
    </row>
    <row r="1048" spans="1:13" x14ac:dyDescent="0.3">
      <c r="A1048">
        <v>101046</v>
      </c>
      <c r="B1048" t="s">
        <v>18</v>
      </c>
      <c r="C1048" t="s">
        <v>16</v>
      </c>
      <c r="D1048" t="s">
        <v>22</v>
      </c>
      <c r="E1048" s="1">
        <v>45608</v>
      </c>
      <c r="F1048" s="4">
        <v>84200</v>
      </c>
      <c r="G1048" s="4">
        <v>887944</v>
      </c>
      <c r="H1048" s="2">
        <v>2539</v>
      </c>
      <c r="I1048" s="16">
        <v>9</v>
      </c>
      <c r="J1048" s="1">
        <v>45617</v>
      </c>
      <c r="K1048" s="3">
        <v>9.4799999999999995E-2</v>
      </c>
      <c r="L1048" s="13">
        <f t="shared" si="35"/>
        <v>2.8594145576748087</v>
      </c>
      <c r="M1048" s="16">
        <f t="shared" si="36"/>
        <v>9355.5555555555547</v>
      </c>
    </row>
    <row r="1049" spans="1:13" x14ac:dyDescent="0.3">
      <c r="A1049">
        <v>101047</v>
      </c>
      <c r="B1049" t="s">
        <v>10</v>
      </c>
      <c r="C1049" t="s">
        <v>21</v>
      </c>
      <c r="D1049" t="s">
        <v>17</v>
      </c>
      <c r="E1049" s="1">
        <v>45609</v>
      </c>
      <c r="F1049" s="4">
        <v>19468</v>
      </c>
      <c r="G1049" s="4">
        <v>764568</v>
      </c>
      <c r="H1049" s="2">
        <v>2730</v>
      </c>
      <c r="I1049" s="16">
        <v>28</v>
      </c>
      <c r="J1049" s="1">
        <v>45637</v>
      </c>
      <c r="K1049" s="3">
        <v>2.5499999999999998E-2</v>
      </c>
      <c r="L1049" s="13">
        <f t="shared" si="35"/>
        <v>3.5706438145462536</v>
      </c>
      <c r="M1049" s="16">
        <f t="shared" si="36"/>
        <v>695.28571428571433</v>
      </c>
    </row>
    <row r="1050" spans="1:13" x14ac:dyDescent="0.3">
      <c r="A1050">
        <v>101048</v>
      </c>
      <c r="B1050" t="s">
        <v>10</v>
      </c>
      <c r="C1050" t="s">
        <v>16</v>
      </c>
      <c r="D1050" t="s">
        <v>12</v>
      </c>
      <c r="E1050" s="1">
        <v>45610</v>
      </c>
      <c r="F1050" s="4">
        <v>719</v>
      </c>
      <c r="G1050" s="4">
        <v>677206</v>
      </c>
      <c r="H1050" s="2">
        <v>4880</v>
      </c>
      <c r="I1050" s="16">
        <v>4</v>
      </c>
      <c r="J1050" s="1">
        <v>45614</v>
      </c>
      <c r="K1050" s="3">
        <v>1.1000000000000001E-3</v>
      </c>
      <c r="L1050" s="13">
        <f t="shared" si="35"/>
        <v>7.2060790955780067</v>
      </c>
      <c r="M1050" s="16">
        <f t="shared" si="36"/>
        <v>179.75</v>
      </c>
    </row>
    <row r="1051" spans="1:13" x14ac:dyDescent="0.3">
      <c r="A1051">
        <v>101049</v>
      </c>
      <c r="B1051" t="s">
        <v>18</v>
      </c>
      <c r="C1051" t="s">
        <v>16</v>
      </c>
      <c r="D1051" t="s">
        <v>24</v>
      </c>
      <c r="E1051" s="1">
        <v>45611</v>
      </c>
      <c r="F1051" s="4">
        <v>94947</v>
      </c>
      <c r="G1051" s="4">
        <v>704081</v>
      </c>
      <c r="H1051" s="2">
        <v>2</v>
      </c>
      <c r="I1051" s="16">
        <v>25</v>
      </c>
      <c r="J1051" s="1">
        <v>45636</v>
      </c>
      <c r="K1051" s="3">
        <v>0.13489999999999999</v>
      </c>
      <c r="L1051" s="13">
        <f t="shared" si="35"/>
        <v>2.8405822625521778E-3</v>
      </c>
      <c r="M1051" s="16">
        <f t="shared" si="36"/>
        <v>3797.88</v>
      </c>
    </row>
    <row r="1052" spans="1:13" x14ac:dyDescent="0.3">
      <c r="A1052">
        <v>101050</v>
      </c>
      <c r="B1052" t="s">
        <v>13</v>
      </c>
      <c r="C1052" t="s">
        <v>16</v>
      </c>
      <c r="D1052" t="s">
        <v>12</v>
      </c>
      <c r="E1052" s="1">
        <v>45612</v>
      </c>
      <c r="F1052" s="4">
        <v>93134</v>
      </c>
      <c r="G1052" s="4">
        <v>210252</v>
      </c>
      <c r="H1052" s="2">
        <v>764</v>
      </c>
      <c r="I1052" s="16">
        <v>24</v>
      </c>
      <c r="J1052" s="1">
        <v>45636</v>
      </c>
      <c r="K1052" s="3">
        <v>0.443</v>
      </c>
      <c r="L1052" s="13">
        <f t="shared" si="35"/>
        <v>3.6337347563875726</v>
      </c>
      <c r="M1052" s="16">
        <f t="shared" si="36"/>
        <v>3880.5833333333335</v>
      </c>
    </row>
    <row r="1053" spans="1:13" x14ac:dyDescent="0.3">
      <c r="A1053">
        <v>101051</v>
      </c>
      <c r="B1053" t="s">
        <v>18</v>
      </c>
      <c r="C1053" t="s">
        <v>23</v>
      </c>
      <c r="D1053" t="s">
        <v>22</v>
      </c>
      <c r="E1053" s="1">
        <v>45613</v>
      </c>
      <c r="F1053" s="4">
        <v>84001</v>
      </c>
      <c r="G1053" s="4">
        <v>425080</v>
      </c>
      <c r="H1053" s="2">
        <v>1802</v>
      </c>
      <c r="I1053" s="16">
        <v>24</v>
      </c>
      <c r="J1053" s="1">
        <v>45637</v>
      </c>
      <c r="K1053" s="3">
        <v>0.1976</v>
      </c>
      <c r="L1053" s="13">
        <f t="shared" si="35"/>
        <v>4.2392020325585777</v>
      </c>
      <c r="M1053" s="16">
        <f t="shared" si="36"/>
        <v>3500.0416666666665</v>
      </c>
    </row>
    <row r="1054" spans="1:13" x14ac:dyDescent="0.3">
      <c r="A1054">
        <v>101052</v>
      </c>
      <c r="B1054" t="s">
        <v>18</v>
      </c>
      <c r="C1054" t="s">
        <v>14</v>
      </c>
      <c r="D1054" t="s">
        <v>24</v>
      </c>
      <c r="E1054" s="1">
        <v>45614</v>
      </c>
      <c r="F1054" s="4">
        <v>67900</v>
      </c>
      <c r="G1054" s="4">
        <v>876014</v>
      </c>
      <c r="H1054" s="2">
        <v>3699</v>
      </c>
      <c r="I1054" s="16">
        <v>27</v>
      </c>
      <c r="J1054" s="1">
        <v>45641</v>
      </c>
      <c r="K1054" s="3">
        <v>7.7499999999999999E-2</v>
      </c>
      <c r="L1054" s="13">
        <f t="shared" si="35"/>
        <v>4.222535256285858</v>
      </c>
      <c r="M1054" s="16">
        <f t="shared" si="36"/>
        <v>2514.8148148148148</v>
      </c>
    </row>
    <row r="1055" spans="1:13" x14ac:dyDescent="0.3">
      <c r="A1055">
        <v>101053</v>
      </c>
      <c r="B1055" t="s">
        <v>18</v>
      </c>
      <c r="C1055" t="s">
        <v>14</v>
      </c>
      <c r="D1055" t="s">
        <v>15</v>
      </c>
      <c r="E1055" s="1">
        <v>45615</v>
      </c>
      <c r="F1055" s="4">
        <v>76813</v>
      </c>
      <c r="G1055" s="4">
        <v>417099</v>
      </c>
      <c r="H1055" s="2">
        <v>2317</v>
      </c>
      <c r="I1055" s="16">
        <v>14</v>
      </c>
      <c r="J1055" s="1">
        <v>45629</v>
      </c>
      <c r="K1055" s="3">
        <v>0.1842</v>
      </c>
      <c r="L1055" s="13">
        <f t="shared" si="35"/>
        <v>5.5550360945482966</v>
      </c>
      <c r="M1055" s="16">
        <f t="shared" si="36"/>
        <v>5486.6428571428569</v>
      </c>
    </row>
    <row r="1056" spans="1:13" x14ac:dyDescent="0.3">
      <c r="A1056">
        <v>101054</v>
      </c>
      <c r="B1056" t="s">
        <v>18</v>
      </c>
      <c r="C1056" t="s">
        <v>20</v>
      </c>
      <c r="D1056" t="s">
        <v>24</v>
      </c>
      <c r="E1056" s="1">
        <v>45616</v>
      </c>
      <c r="F1056" s="4">
        <v>36084</v>
      </c>
      <c r="G1056" s="4">
        <v>269229</v>
      </c>
      <c r="H1056" s="2">
        <v>3468</v>
      </c>
      <c r="I1056" s="16">
        <v>6</v>
      </c>
      <c r="J1056" s="1">
        <v>45622</v>
      </c>
      <c r="K1056" s="3">
        <v>0.13400000000000001</v>
      </c>
      <c r="L1056" s="13">
        <f t="shared" si="35"/>
        <v>12.881227505209319</v>
      </c>
      <c r="M1056" s="16">
        <f t="shared" si="36"/>
        <v>6014</v>
      </c>
    </row>
    <row r="1057" spans="1:13" x14ac:dyDescent="0.3">
      <c r="A1057">
        <v>101055</v>
      </c>
      <c r="B1057" t="s">
        <v>13</v>
      </c>
      <c r="C1057" t="s">
        <v>23</v>
      </c>
      <c r="D1057" t="s">
        <v>22</v>
      </c>
      <c r="E1057" s="1">
        <v>45617</v>
      </c>
      <c r="F1057" s="4">
        <v>863</v>
      </c>
      <c r="G1057" s="4">
        <v>404881</v>
      </c>
      <c r="H1057" s="2">
        <v>1947</v>
      </c>
      <c r="I1057" s="16">
        <v>3</v>
      </c>
      <c r="J1057" s="1">
        <v>45620</v>
      </c>
      <c r="K1057" s="3">
        <v>2.0999999999999999E-3</v>
      </c>
      <c r="L1057" s="13">
        <f t="shared" si="35"/>
        <v>4.808820369441885</v>
      </c>
      <c r="M1057" s="16">
        <f t="shared" si="36"/>
        <v>287.66666666666669</v>
      </c>
    </row>
    <row r="1058" spans="1:13" x14ac:dyDescent="0.3">
      <c r="A1058">
        <v>101056</v>
      </c>
      <c r="B1058" t="s">
        <v>19</v>
      </c>
      <c r="C1058" t="s">
        <v>21</v>
      </c>
      <c r="D1058" t="s">
        <v>24</v>
      </c>
      <c r="E1058" s="1">
        <v>45618</v>
      </c>
      <c r="F1058" s="4">
        <v>26446</v>
      </c>
      <c r="G1058" s="4">
        <v>98085</v>
      </c>
      <c r="H1058" s="2">
        <v>2749</v>
      </c>
      <c r="I1058" s="16">
        <v>23</v>
      </c>
      <c r="J1058" s="1">
        <v>45641</v>
      </c>
      <c r="K1058" s="3">
        <v>0.26960000000000001</v>
      </c>
      <c r="L1058" s="13">
        <f t="shared" si="35"/>
        <v>28.026711525717488</v>
      </c>
      <c r="M1058" s="16">
        <f t="shared" si="36"/>
        <v>1149.8260869565217</v>
      </c>
    </row>
    <row r="1059" spans="1:13" x14ac:dyDescent="0.3">
      <c r="A1059">
        <v>101057</v>
      </c>
      <c r="B1059" t="s">
        <v>18</v>
      </c>
      <c r="C1059" t="s">
        <v>20</v>
      </c>
      <c r="D1059" t="s">
        <v>22</v>
      </c>
      <c r="E1059" s="1">
        <v>45619</v>
      </c>
      <c r="F1059" s="4">
        <v>57389</v>
      </c>
      <c r="G1059" s="4">
        <v>702464</v>
      </c>
      <c r="H1059" s="2">
        <v>2371</v>
      </c>
      <c r="I1059" s="16">
        <v>8</v>
      </c>
      <c r="J1059" s="1">
        <v>45627</v>
      </c>
      <c r="K1059" s="3">
        <v>8.1699999999999995E-2</v>
      </c>
      <c r="L1059" s="13">
        <f t="shared" si="35"/>
        <v>3.3752619351311952</v>
      </c>
      <c r="M1059" s="16">
        <f t="shared" si="36"/>
        <v>7173.625</v>
      </c>
    </row>
    <row r="1060" spans="1:13" x14ac:dyDescent="0.3">
      <c r="A1060">
        <v>101058</v>
      </c>
      <c r="B1060" t="s">
        <v>13</v>
      </c>
      <c r="C1060" t="s">
        <v>25</v>
      </c>
      <c r="D1060" t="s">
        <v>17</v>
      </c>
      <c r="E1060" s="1">
        <v>45620</v>
      </c>
      <c r="F1060" s="4">
        <v>12420</v>
      </c>
      <c r="G1060" s="4">
        <v>974970</v>
      </c>
      <c r="H1060" s="2">
        <v>4413</v>
      </c>
      <c r="I1060" s="16">
        <v>7</v>
      </c>
      <c r="J1060" s="1">
        <v>45627</v>
      </c>
      <c r="K1060" s="3">
        <v>1.2699999999999999E-2</v>
      </c>
      <c r="L1060" s="13">
        <f t="shared" si="35"/>
        <v>4.5262931167112841</v>
      </c>
      <c r="M1060" s="16">
        <f t="shared" si="36"/>
        <v>1774.2857142857142</v>
      </c>
    </row>
    <row r="1061" spans="1:13" x14ac:dyDescent="0.3">
      <c r="A1061">
        <v>101059</v>
      </c>
      <c r="B1061" t="s">
        <v>10</v>
      </c>
      <c r="C1061" t="s">
        <v>21</v>
      </c>
      <c r="D1061" t="s">
        <v>24</v>
      </c>
      <c r="E1061" s="1">
        <v>45621</v>
      </c>
      <c r="F1061" s="4">
        <v>52315</v>
      </c>
      <c r="G1061" s="4">
        <v>709046</v>
      </c>
      <c r="H1061" s="2">
        <v>1900</v>
      </c>
      <c r="I1061" s="16">
        <v>9</v>
      </c>
      <c r="J1061" s="1">
        <v>45630</v>
      </c>
      <c r="K1061" s="3">
        <v>7.3800000000000004E-2</v>
      </c>
      <c r="L1061" s="13">
        <f t="shared" si="35"/>
        <v>2.6796568910902816</v>
      </c>
      <c r="M1061" s="16">
        <f t="shared" si="36"/>
        <v>5812.7777777777774</v>
      </c>
    </row>
    <row r="1062" spans="1:13" x14ac:dyDescent="0.3">
      <c r="A1062">
        <v>101060</v>
      </c>
      <c r="B1062" t="s">
        <v>19</v>
      </c>
      <c r="C1062" t="s">
        <v>21</v>
      </c>
      <c r="D1062" t="s">
        <v>22</v>
      </c>
      <c r="E1062" s="1">
        <v>45622</v>
      </c>
      <c r="F1062" s="4">
        <v>47790</v>
      </c>
      <c r="G1062" s="4">
        <v>93946</v>
      </c>
      <c r="H1062" s="2">
        <v>2703</v>
      </c>
      <c r="I1062" s="16">
        <v>26</v>
      </c>
      <c r="J1062" s="1">
        <v>45648</v>
      </c>
      <c r="K1062" s="3">
        <v>0.50870000000000004</v>
      </c>
      <c r="L1062" s="13">
        <f t="shared" si="35"/>
        <v>28.771847657164752</v>
      </c>
      <c r="M1062" s="16">
        <f t="shared" si="36"/>
        <v>1838.0769230769231</v>
      </c>
    </row>
    <row r="1063" spans="1:13" x14ac:dyDescent="0.3">
      <c r="A1063">
        <v>101061</v>
      </c>
      <c r="B1063" t="s">
        <v>13</v>
      </c>
      <c r="C1063" t="s">
        <v>11</v>
      </c>
      <c r="D1063" t="s">
        <v>24</v>
      </c>
      <c r="E1063" s="1">
        <v>45623</v>
      </c>
      <c r="F1063" s="4">
        <v>71916</v>
      </c>
      <c r="G1063" s="4">
        <v>424042</v>
      </c>
      <c r="H1063" s="2">
        <v>1998</v>
      </c>
      <c r="I1063" s="16">
        <v>29</v>
      </c>
      <c r="J1063" s="1">
        <v>45652</v>
      </c>
      <c r="K1063" s="3">
        <v>0.1696</v>
      </c>
      <c r="L1063" s="13">
        <f t="shared" si="35"/>
        <v>4.7117974162936687</v>
      </c>
      <c r="M1063" s="16">
        <f t="shared" si="36"/>
        <v>2479.8620689655172</v>
      </c>
    </row>
    <row r="1064" spans="1:13" x14ac:dyDescent="0.3">
      <c r="A1064">
        <v>101062</v>
      </c>
      <c r="B1064" t="s">
        <v>18</v>
      </c>
      <c r="C1064" t="s">
        <v>23</v>
      </c>
      <c r="D1064" t="s">
        <v>22</v>
      </c>
      <c r="E1064" s="1">
        <v>45624</v>
      </c>
      <c r="F1064" s="4">
        <v>35269</v>
      </c>
      <c r="G1064" s="4">
        <v>879229</v>
      </c>
      <c r="H1064" s="2">
        <v>4401</v>
      </c>
      <c r="I1064" s="16">
        <v>19</v>
      </c>
      <c r="J1064" s="1">
        <v>45643</v>
      </c>
      <c r="K1064" s="3">
        <v>4.0099999999999997E-2</v>
      </c>
      <c r="L1064" s="13">
        <f t="shared" si="35"/>
        <v>5.0055218833773685</v>
      </c>
      <c r="M1064" s="16">
        <f t="shared" si="36"/>
        <v>1856.2631578947369</v>
      </c>
    </row>
    <row r="1065" spans="1:13" x14ac:dyDescent="0.3">
      <c r="A1065">
        <v>101063</v>
      </c>
      <c r="B1065" t="s">
        <v>13</v>
      </c>
      <c r="C1065" t="s">
        <v>23</v>
      </c>
      <c r="D1065" t="s">
        <v>17</v>
      </c>
      <c r="E1065" s="1">
        <v>45625</v>
      </c>
      <c r="F1065" s="4">
        <v>35628</v>
      </c>
      <c r="G1065" s="4">
        <v>830082</v>
      </c>
      <c r="H1065" s="2">
        <v>94</v>
      </c>
      <c r="I1065" s="16">
        <v>3</v>
      </c>
      <c r="J1065" s="1">
        <v>45628</v>
      </c>
      <c r="K1065" s="3">
        <v>4.2900000000000001E-2</v>
      </c>
      <c r="L1065" s="13">
        <f t="shared" si="35"/>
        <v>0.11324182430169551</v>
      </c>
      <c r="M1065" s="16">
        <f t="shared" si="36"/>
        <v>11876</v>
      </c>
    </row>
    <row r="1066" spans="1:13" x14ac:dyDescent="0.3">
      <c r="A1066">
        <v>101064</v>
      </c>
      <c r="B1066" t="s">
        <v>18</v>
      </c>
      <c r="C1066" t="s">
        <v>16</v>
      </c>
      <c r="D1066" t="s">
        <v>12</v>
      </c>
      <c r="E1066" s="1">
        <v>45626</v>
      </c>
      <c r="F1066" s="4">
        <v>81033</v>
      </c>
      <c r="G1066" s="4">
        <v>570682</v>
      </c>
      <c r="H1066" s="2">
        <v>3343</v>
      </c>
      <c r="I1066" s="16">
        <v>3</v>
      </c>
      <c r="J1066" s="1">
        <v>45629</v>
      </c>
      <c r="K1066" s="3">
        <v>0.14199999999999999</v>
      </c>
      <c r="L1066" s="13">
        <f t="shared" si="35"/>
        <v>5.8579033507277254</v>
      </c>
      <c r="M1066" s="16">
        <f t="shared" si="36"/>
        <v>27011</v>
      </c>
    </row>
    <row r="1067" spans="1:13" x14ac:dyDescent="0.3">
      <c r="A1067">
        <v>101065</v>
      </c>
      <c r="B1067" t="s">
        <v>19</v>
      </c>
      <c r="C1067" t="s">
        <v>14</v>
      </c>
      <c r="D1067" t="s">
        <v>24</v>
      </c>
      <c r="E1067" s="1">
        <v>45627</v>
      </c>
      <c r="F1067" s="4">
        <v>48881</v>
      </c>
      <c r="G1067" s="4">
        <v>381876</v>
      </c>
      <c r="H1067" s="2">
        <v>4157</v>
      </c>
      <c r="I1067" s="16">
        <v>26</v>
      </c>
      <c r="J1067" s="1">
        <v>45653</v>
      </c>
      <c r="K1067" s="3">
        <v>0.128</v>
      </c>
      <c r="L1067" s="13">
        <f t="shared" si="35"/>
        <v>10.885732541453248</v>
      </c>
      <c r="M1067" s="16">
        <f t="shared" si="36"/>
        <v>1880.0384615384614</v>
      </c>
    </row>
    <row r="1068" spans="1:13" x14ac:dyDescent="0.3">
      <c r="A1068">
        <v>101066</v>
      </c>
      <c r="B1068" t="s">
        <v>18</v>
      </c>
      <c r="C1068" t="s">
        <v>14</v>
      </c>
      <c r="D1068" t="s">
        <v>22</v>
      </c>
      <c r="E1068" s="1">
        <v>45628</v>
      </c>
      <c r="F1068" s="4">
        <v>77234</v>
      </c>
      <c r="G1068" s="4">
        <v>282894</v>
      </c>
      <c r="H1068" s="2">
        <v>980</v>
      </c>
      <c r="I1068" s="16">
        <v>2</v>
      </c>
      <c r="J1068" s="1">
        <v>45630</v>
      </c>
      <c r="K1068" s="3">
        <v>0.27300000000000002</v>
      </c>
      <c r="L1068" s="13">
        <f t="shared" si="35"/>
        <v>3.4641950695313439</v>
      </c>
      <c r="M1068" s="16">
        <f t="shared" si="36"/>
        <v>38617</v>
      </c>
    </row>
    <row r="1069" spans="1:13" x14ac:dyDescent="0.3">
      <c r="A1069">
        <v>101067</v>
      </c>
      <c r="B1069" t="s">
        <v>13</v>
      </c>
      <c r="C1069" t="s">
        <v>16</v>
      </c>
      <c r="D1069" t="s">
        <v>17</v>
      </c>
      <c r="E1069" s="1">
        <v>45629</v>
      </c>
      <c r="F1069" s="4">
        <v>76393</v>
      </c>
      <c r="G1069" s="4">
        <v>275434</v>
      </c>
      <c r="H1069" s="2">
        <v>4924</v>
      </c>
      <c r="I1069" s="16">
        <v>10</v>
      </c>
      <c r="J1069" s="1">
        <v>45639</v>
      </c>
      <c r="K1069" s="3">
        <v>0.27739999999999998</v>
      </c>
      <c r="L1069" s="13">
        <f t="shared" si="35"/>
        <v>17.877241008735307</v>
      </c>
      <c r="M1069" s="16">
        <f t="shared" si="36"/>
        <v>7639.3</v>
      </c>
    </row>
    <row r="1070" spans="1:13" x14ac:dyDescent="0.3">
      <c r="A1070">
        <v>101068</v>
      </c>
      <c r="B1070" t="s">
        <v>18</v>
      </c>
      <c r="C1070" t="s">
        <v>16</v>
      </c>
      <c r="D1070" t="s">
        <v>17</v>
      </c>
      <c r="E1070" s="1">
        <v>45630</v>
      </c>
      <c r="F1070" s="4">
        <v>10537</v>
      </c>
      <c r="G1070" s="4">
        <v>904352</v>
      </c>
      <c r="H1070" s="2">
        <v>4805</v>
      </c>
      <c r="I1070" s="16">
        <v>25</v>
      </c>
      <c r="J1070" s="1">
        <v>45655</v>
      </c>
      <c r="K1070" s="3">
        <v>1.17E-2</v>
      </c>
      <c r="L1070" s="13">
        <f t="shared" si="35"/>
        <v>5.3131966314001629</v>
      </c>
      <c r="M1070" s="16">
        <f t="shared" si="36"/>
        <v>421.48</v>
      </c>
    </row>
    <row r="1071" spans="1:13" x14ac:dyDescent="0.3">
      <c r="A1071">
        <v>101069</v>
      </c>
      <c r="B1071" t="s">
        <v>13</v>
      </c>
      <c r="C1071" t="s">
        <v>20</v>
      </c>
      <c r="D1071" t="s">
        <v>17</v>
      </c>
      <c r="E1071" s="1">
        <v>45631</v>
      </c>
      <c r="F1071" s="4">
        <v>71590</v>
      </c>
      <c r="G1071" s="4">
        <v>983840</v>
      </c>
      <c r="H1071" s="2">
        <v>1882</v>
      </c>
      <c r="I1071" s="16">
        <v>5</v>
      </c>
      <c r="J1071" s="1">
        <v>45636</v>
      </c>
      <c r="K1071" s="3">
        <v>7.2800000000000004E-2</v>
      </c>
      <c r="L1071" s="13">
        <f t="shared" si="35"/>
        <v>1.9129126687266222</v>
      </c>
      <c r="M1071" s="16">
        <f t="shared" si="36"/>
        <v>14318</v>
      </c>
    </row>
    <row r="1072" spans="1:13" x14ac:dyDescent="0.3">
      <c r="A1072">
        <v>101070</v>
      </c>
      <c r="B1072" t="s">
        <v>10</v>
      </c>
      <c r="C1072" t="s">
        <v>16</v>
      </c>
      <c r="D1072" t="s">
        <v>15</v>
      </c>
      <c r="E1072" s="1">
        <v>45632</v>
      </c>
      <c r="F1072" s="4">
        <v>9331</v>
      </c>
      <c r="G1072" s="4">
        <v>182868</v>
      </c>
      <c r="H1072" s="2">
        <v>3624</v>
      </c>
      <c r="I1072" s="16">
        <v>16</v>
      </c>
      <c r="J1072" s="1">
        <v>45648</v>
      </c>
      <c r="K1072" s="3">
        <v>5.0999999999999997E-2</v>
      </c>
      <c r="L1072" s="13">
        <f t="shared" si="35"/>
        <v>19.817573331583436</v>
      </c>
      <c r="M1072" s="16">
        <f t="shared" si="36"/>
        <v>583.1875</v>
      </c>
    </row>
    <row r="1073" spans="1:13" x14ac:dyDescent="0.3">
      <c r="A1073">
        <v>101071</v>
      </c>
      <c r="B1073" t="s">
        <v>13</v>
      </c>
      <c r="C1073" t="s">
        <v>14</v>
      </c>
      <c r="D1073" t="s">
        <v>12</v>
      </c>
      <c r="E1073" s="1">
        <v>45633</v>
      </c>
      <c r="F1073" s="4">
        <v>50790</v>
      </c>
      <c r="G1073" s="4">
        <v>156332</v>
      </c>
      <c r="H1073" s="2">
        <v>1582</v>
      </c>
      <c r="I1073" s="16">
        <v>6</v>
      </c>
      <c r="J1073" s="1">
        <v>45639</v>
      </c>
      <c r="K1073" s="3">
        <v>0.32490000000000002</v>
      </c>
      <c r="L1073" s="13">
        <f t="shared" si="35"/>
        <v>10.119489292019548</v>
      </c>
      <c r="M1073" s="16">
        <f t="shared" si="36"/>
        <v>8465</v>
      </c>
    </row>
    <row r="1074" spans="1:13" x14ac:dyDescent="0.3">
      <c r="A1074">
        <v>101072</v>
      </c>
      <c r="B1074" t="s">
        <v>13</v>
      </c>
      <c r="C1074" t="s">
        <v>25</v>
      </c>
      <c r="D1074" t="s">
        <v>17</v>
      </c>
      <c r="E1074" s="1">
        <v>45634</v>
      </c>
      <c r="F1074" s="4">
        <v>1854</v>
      </c>
      <c r="G1074" s="4">
        <v>690017</v>
      </c>
      <c r="H1074" s="2">
        <v>407</v>
      </c>
      <c r="I1074" s="16">
        <v>1</v>
      </c>
      <c r="J1074" s="1">
        <v>45635</v>
      </c>
      <c r="K1074" s="3">
        <v>2.7000000000000001E-3</v>
      </c>
      <c r="L1074" s="13">
        <f t="shared" si="35"/>
        <v>0.58984054016060472</v>
      </c>
      <c r="M1074" s="16">
        <f t="shared" si="36"/>
        <v>1854</v>
      </c>
    </row>
    <row r="1075" spans="1:13" x14ac:dyDescent="0.3">
      <c r="A1075">
        <v>101073</v>
      </c>
      <c r="B1075" t="s">
        <v>19</v>
      </c>
      <c r="C1075" t="s">
        <v>25</v>
      </c>
      <c r="D1075" t="s">
        <v>22</v>
      </c>
      <c r="E1075" s="1">
        <v>45635</v>
      </c>
      <c r="F1075" s="4">
        <v>46435</v>
      </c>
      <c r="G1075" s="4">
        <v>319538</v>
      </c>
      <c r="H1075" s="2">
        <v>348</v>
      </c>
      <c r="I1075" s="16">
        <v>14</v>
      </c>
      <c r="J1075" s="1">
        <v>45649</v>
      </c>
      <c r="K1075" s="3">
        <v>0.14530000000000001</v>
      </c>
      <c r="L1075" s="13">
        <f t="shared" si="35"/>
        <v>1.0890723482027178</v>
      </c>
      <c r="M1075" s="16">
        <f t="shared" si="36"/>
        <v>3316.7857142857142</v>
      </c>
    </row>
    <row r="1076" spans="1:13" x14ac:dyDescent="0.3">
      <c r="A1076">
        <v>101074</v>
      </c>
      <c r="B1076" t="s">
        <v>10</v>
      </c>
      <c r="C1076" t="s">
        <v>11</v>
      </c>
      <c r="D1076" t="s">
        <v>24</v>
      </c>
      <c r="E1076" s="1">
        <v>45636</v>
      </c>
      <c r="F1076" s="4">
        <v>78401</v>
      </c>
      <c r="G1076" s="4">
        <v>644217</v>
      </c>
      <c r="H1076" s="2">
        <v>2396</v>
      </c>
      <c r="I1076" s="16">
        <v>26</v>
      </c>
      <c r="J1076" s="1">
        <v>45662</v>
      </c>
      <c r="K1076" s="3">
        <v>0.1217</v>
      </c>
      <c r="L1076" s="13">
        <f t="shared" si="35"/>
        <v>3.7192436709990577</v>
      </c>
      <c r="M1076" s="16">
        <f t="shared" si="36"/>
        <v>3015.4230769230771</v>
      </c>
    </row>
    <row r="1077" spans="1:13" x14ac:dyDescent="0.3">
      <c r="A1077">
        <v>101075</v>
      </c>
      <c r="B1077" t="s">
        <v>18</v>
      </c>
      <c r="C1077" t="s">
        <v>25</v>
      </c>
      <c r="D1077" t="s">
        <v>12</v>
      </c>
      <c r="E1077" s="1">
        <v>45637</v>
      </c>
      <c r="F1077" s="4">
        <v>9860</v>
      </c>
      <c r="G1077" s="4">
        <v>315266</v>
      </c>
      <c r="H1077" s="2">
        <v>3876</v>
      </c>
      <c r="I1077" s="16">
        <v>14</v>
      </c>
      <c r="J1077" s="1">
        <v>45651</v>
      </c>
      <c r="K1077" s="3">
        <v>3.1300000000000001E-2</v>
      </c>
      <c r="L1077" s="13">
        <f t="shared" si="35"/>
        <v>12.294379983886623</v>
      </c>
      <c r="M1077" s="16">
        <f t="shared" si="36"/>
        <v>704.28571428571433</v>
      </c>
    </row>
    <row r="1078" spans="1:13" x14ac:dyDescent="0.3">
      <c r="A1078">
        <v>101076</v>
      </c>
      <c r="B1078" t="s">
        <v>13</v>
      </c>
      <c r="C1078" t="s">
        <v>21</v>
      </c>
      <c r="D1078" t="s">
        <v>12</v>
      </c>
      <c r="E1078" s="1">
        <v>45638</v>
      </c>
      <c r="F1078" s="4">
        <v>28032</v>
      </c>
      <c r="G1078" s="4">
        <v>316476</v>
      </c>
      <c r="H1078" s="2">
        <v>4025</v>
      </c>
      <c r="I1078" s="16">
        <v>22</v>
      </c>
      <c r="J1078" s="1">
        <v>45660</v>
      </c>
      <c r="K1078" s="3">
        <v>8.8599999999999998E-2</v>
      </c>
      <c r="L1078" s="13">
        <f t="shared" si="35"/>
        <v>12.718184001314475</v>
      </c>
      <c r="M1078" s="16">
        <f t="shared" si="36"/>
        <v>1274.1818181818182</v>
      </c>
    </row>
    <row r="1079" spans="1:13" x14ac:dyDescent="0.3">
      <c r="A1079">
        <v>101077</v>
      </c>
      <c r="B1079" t="s">
        <v>13</v>
      </c>
      <c r="C1079" t="s">
        <v>21</v>
      </c>
      <c r="D1079" t="s">
        <v>17</v>
      </c>
      <c r="E1079" s="1">
        <v>45639</v>
      </c>
      <c r="F1079" s="4">
        <v>88670</v>
      </c>
      <c r="G1079" s="4">
        <v>687083</v>
      </c>
      <c r="H1079" s="2">
        <v>1238</v>
      </c>
      <c r="I1079" s="16">
        <v>22</v>
      </c>
      <c r="J1079" s="1">
        <v>45661</v>
      </c>
      <c r="K1079" s="3">
        <v>0.12909999999999999</v>
      </c>
      <c r="L1079" s="13">
        <f t="shared" si="35"/>
        <v>1.8018201585543521</v>
      </c>
      <c r="M1079" s="16">
        <f t="shared" si="36"/>
        <v>4030.4545454545455</v>
      </c>
    </row>
    <row r="1080" spans="1:13" x14ac:dyDescent="0.3">
      <c r="A1080">
        <v>101078</v>
      </c>
      <c r="B1080" t="s">
        <v>13</v>
      </c>
      <c r="C1080" t="s">
        <v>25</v>
      </c>
      <c r="D1080" t="s">
        <v>12</v>
      </c>
      <c r="E1080" s="1">
        <v>45640</v>
      </c>
      <c r="F1080" s="4">
        <v>36737</v>
      </c>
      <c r="G1080" s="4">
        <v>374183</v>
      </c>
      <c r="H1080" s="2">
        <v>1277</v>
      </c>
      <c r="I1080" s="16">
        <v>22</v>
      </c>
      <c r="J1080" s="1">
        <v>45662</v>
      </c>
      <c r="K1080" s="3">
        <v>9.8199999999999996E-2</v>
      </c>
      <c r="L1080" s="13">
        <f t="shared" si="35"/>
        <v>3.4127686185636441</v>
      </c>
      <c r="M1080" s="16">
        <f t="shared" si="36"/>
        <v>1669.8636363636363</v>
      </c>
    </row>
    <row r="1081" spans="1:13" x14ac:dyDescent="0.3">
      <c r="A1081">
        <v>101079</v>
      </c>
      <c r="B1081" t="s">
        <v>18</v>
      </c>
      <c r="C1081" t="s">
        <v>25</v>
      </c>
      <c r="D1081" t="s">
        <v>17</v>
      </c>
      <c r="E1081" s="1">
        <v>45641</v>
      </c>
      <c r="F1081" s="4">
        <v>95175</v>
      </c>
      <c r="G1081" s="4">
        <v>963017</v>
      </c>
      <c r="H1081" s="2">
        <v>1965</v>
      </c>
      <c r="I1081" s="16">
        <v>8</v>
      </c>
      <c r="J1081" s="1">
        <v>45649</v>
      </c>
      <c r="K1081" s="3">
        <v>9.8799999999999999E-2</v>
      </c>
      <c r="L1081" s="13">
        <f t="shared" si="35"/>
        <v>2.0404624217433338</v>
      </c>
      <c r="M1081" s="16">
        <f t="shared" si="36"/>
        <v>11896.875</v>
      </c>
    </row>
    <row r="1082" spans="1:13" x14ac:dyDescent="0.3">
      <c r="A1082">
        <v>101080</v>
      </c>
      <c r="B1082" t="s">
        <v>18</v>
      </c>
      <c r="C1082" t="s">
        <v>11</v>
      </c>
      <c r="D1082" t="s">
        <v>12</v>
      </c>
      <c r="E1082" s="1">
        <v>45642</v>
      </c>
      <c r="F1082" s="4">
        <v>66813</v>
      </c>
      <c r="G1082" s="4">
        <v>763296</v>
      </c>
      <c r="H1082" s="2">
        <v>4641</v>
      </c>
      <c r="I1082" s="16">
        <v>27</v>
      </c>
      <c r="J1082" s="1">
        <v>45669</v>
      </c>
      <c r="K1082" s="3">
        <v>8.7499999999999994E-2</v>
      </c>
      <c r="L1082" s="13">
        <f t="shared" si="35"/>
        <v>6.0802100364733995</v>
      </c>
      <c r="M1082" s="16">
        <f t="shared" si="36"/>
        <v>2474.5555555555557</v>
      </c>
    </row>
    <row r="1083" spans="1:13" x14ac:dyDescent="0.3">
      <c r="A1083">
        <v>101081</v>
      </c>
      <c r="B1083" t="s">
        <v>19</v>
      </c>
      <c r="C1083" t="s">
        <v>14</v>
      </c>
      <c r="D1083" t="s">
        <v>12</v>
      </c>
      <c r="E1083" s="1">
        <v>45643</v>
      </c>
      <c r="F1083" s="4">
        <v>83875</v>
      </c>
      <c r="G1083" s="4">
        <v>844484</v>
      </c>
      <c r="H1083" s="2">
        <v>3556</v>
      </c>
      <c r="I1083" s="16">
        <v>18</v>
      </c>
      <c r="J1083" s="1">
        <v>45661</v>
      </c>
      <c r="K1083" s="3">
        <v>9.9299999999999999E-2</v>
      </c>
      <c r="L1083" s="13">
        <f t="shared" si="35"/>
        <v>4.2108553862476965</v>
      </c>
      <c r="M1083" s="16">
        <f t="shared" si="36"/>
        <v>4659.7222222222226</v>
      </c>
    </row>
    <row r="1084" spans="1:13" x14ac:dyDescent="0.3">
      <c r="A1084">
        <v>101082</v>
      </c>
      <c r="B1084" t="s">
        <v>19</v>
      </c>
      <c r="C1084" t="s">
        <v>16</v>
      </c>
      <c r="D1084" t="s">
        <v>15</v>
      </c>
      <c r="E1084" s="1">
        <v>45644</v>
      </c>
      <c r="F1084" s="4">
        <v>60630</v>
      </c>
      <c r="G1084" s="4">
        <v>977470</v>
      </c>
      <c r="H1084" s="2">
        <v>327</v>
      </c>
      <c r="I1084" s="16">
        <v>13</v>
      </c>
      <c r="J1084" s="1">
        <v>45657</v>
      </c>
      <c r="K1084" s="3">
        <v>6.2E-2</v>
      </c>
      <c r="L1084" s="13">
        <f t="shared" si="35"/>
        <v>0.33453712134387759</v>
      </c>
      <c r="M1084" s="16">
        <f t="shared" si="36"/>
        <v>4663.8461538461543</v>
      </c>
    </row>
    <row r="1085" spans="1:13" x14ac:dyDescent="0.3">
      <c r="A1085">
        <v>101083</v>
      </c>
      <c r="B1085" t="s">
        <v>10</v>
      </c>
      <c r="C1085" t="s">
        <v>23</v>
      </c>
      <c r="D1085" t="s">
        <v>24</v>
      </c>
      <c r="E1085" s="1">
        <v>45645</v>
      </c>
      <c r="F1085" s="4">
        <v>14047</v>
      </c>
      <c r="G1085" s="4">
        <v>83533</v>
      </c>
      <c r="H1085" s="2">
        <v>3169</v>
      </c>
      <c r="I1085" s="16">
        <v>17</v>
      </c>
      <c r="J1085" s="1">
        <v>45662</v>
      </c>
      <c r="K1085" s="3">
        <v>0.16819999999999999</v>
      </c>
      <c r="L1085" s="13">
        <f t="shared" si="35"/>
        <v>37.937102701926186</v>
      </c>
      <c r="M1085" s="16">
        <f t="shared" si="36"/>
        <v>826.29411764705878</v>
      </c>
    </row>
    <row r="1086" spans="1:13" x14ac:dyDescent="0.3">
      <c r="A1086">
        <v>101084</v>
      </c>
      <c r="B1086" t="s">
        <v>19</v>
      </c>
      <c r="C1086" t="s">
        <v>11</v>
      </c>
      <c r="D1086" t="s">
        <v>12</v>
      </c>
      <c r="E1086" s="1">
        <v>45646</v>
      </c>
      <c r="F1086" s="4">
        <v>51596</v>
      </c>
      <c r="G1086" s="4">
        <v>588165</v>
      </c>
      <c r="H1086" s="2">
        <v>3590</v>
      </c>
      <c r="I1086" s="16">
        <v>23</v>
      </c>
      <c r="J1086" s="1">
        <v>45669</v>
      </c>
      <c r="K1086" s="3">
        <v>8.77E-2</v>
      </c>
      <c r="L1086" s="13">
        <f t="shared" si="35"/>
        <v>6.1037293956627821</v>
      </c>
      <c r="M1086" s="16">
        <f t="shared" si="36"/>
        <v>2243.304347826087</v>
      </c>
    </row>
    <row r="1087" spans="1:13" x14ac:dyDescent="0.3">
      <c r="A1087">
        <v>101085</v>
      </c>
      <c r="B1087" t="s">
        <v>10</v>
      </c>
      <c r="C1087" t="s">
        <v>21</v>
      </c>
      <c r="D1087" t="s">
        <v>15</v>
      </c>
      <c r="E1087" s="1">
        <v>45647</v>
      </c>
      <c r="F1087" s="4">
        <v>62463</v>
      </c>
      <c r="G1087" s="4">
        <v>727960</v>
      </c>
      <c r="H1087" s="2">
        <v>3889</v>
      </c>
      <c r="I1087" s="16">
        <v>8</v>
      </c>
      <c r="J1087" s="1">
        <v>45655</v>
      </c>
      <c r="K1087" s="3">
        <v>8.5800000000000001E-2</v>
      </c>
      <c r="L1087" s="13">
        <f t="shared" si="35"/>
        <v>5.3423265014561236</v>
      </c>
      <c r="M1087" s="16">
        <f t="shared" si="36"/>
        <v>7807.875</v>
      </c>
    </row>
    <row r="1088" spans="1:13" x14ac:dyDescent="0.3">
      <c r="A1088">
        <v>101086</v>
      </c>
      <c r="B1088" t="s">
        <v>10</v>
      </c>
      <c r="C1088" t="s">
        <v>20</v>
      </c>
      <c r="D1088" t="s">
        <v>22</v>
      </c>
      <c r="E1088" s="1">
        <v>45648</v>
      </c>
      <c r="F1088" s="4">
        <v>68700</v>
      </c>
      <c r="G1088" s="4">
        <v>671990</v>
      </c>
      <c r="H1088" s="2">
        <v>3487</v>
      </c>
      <c r="I1088" s="16">
        <v>3</v>
      </c>
      <c r="J1088" s="1">
        <v>45651</v>
      </c>
      <c r="K1088" s="3">
        <v>0.1022</v>
      </c>
      <c r="L1088" s="13">
        <f t="shared" si="35"/>
        <v>5.1890653134719269</v>
      </c>
      <c r="M1088" s="16">
        <f t="shared" si="36"/>
        <v>22900</v>
      </c>
    </row>
    <row r="1089" spans="1:13" x14ac:dyDescent="0.3">
      <c r="A1089">
        <v>101087</v>
      </c>
      <c r="B1089" t="s">
        <v>10</v>
      </c>
      <c r="C1089" t="s">
        <v>25</v>
      </c>
      <c r="D1089" t="s">
        <v>17</v>
      </c>
      <c r="E1089" s="1">
        <v>45649</v>
      </c>
      <c r="F1089" s="4">
        <v>43669</v>
      </c>
      <c r="G1089" s="4">
        <v>103969</v>
      </c>
      <c r="H1089" s="2">
        <v>2768</v>
      </c>
      <c r="I1089" s="16">
        <v>10</v>
      </c>
      <c r="J1089" s="1">
        <v>45659</v>
      </c>
      <c r="K1089" s="3">
        <v>0.42</v>
      </c>
      <c r="L1089" s="13">
        <f t="shared" si="35"/>
        <v>26.623320412815357</v>
      </c>
      <c r="M1089" s="16">
        <f t="shared" si="36"/>
        <v>4366.8999999999996</v>
      </c>
    </row>
    <row r="1090" spans="1:13" x14ac:dyDescent="0.3">
      <c r="A1090">
        <v>101088</v>
      </c>
      <c r="B1090" t="s">
        <v>13</v>
      </c>
      <c r="C1090" t="s">
        <v>20</v>
      </c>
      <c r="D1090" t="s">
        <v>22</v>
      </c>
      <c r="E1090" s="1">
        <v>45650</v>
      </c>
      <c r="F1090" s="4">
        <v>31251</v>
      </c>
      <c r="G1090" s="4">
        <v>670217</v>
      </c>
      <c r="H1090" s="2">
        <v>3950</v>
      </c>
      <c r="I1090" s="16">
        <v>10</v>
      </c>
      <c r="J1090" s="1">
        <v>45660</v>
      </c>
      <c r="K1090" s="3">
        <v>4.6600000000000003E-2</v>
      </c>
      <c r="L1090" s="13">
        <f t="shared" ref="L1090:L1153" si="37">H1090/G1090*1000</f>
        <v>5.8936135609809961</v>
      </c>
      <c r="M1090" s="16">
        <f t="shared" ref="M1090:M1153" si="38">IFERROR(F1090/I1090,"No Data")</f>
        <v>3125.1</v>
      </c>
    </row>
    <row r="1091" spans="1:13" x14ac:dyDescent="0.3">
      <c r="A1091">
        <v>101089</v>
      </c>
      <c r="B1091" t="s">
        <v>13</v>
      </c>
      <c r="C1091" t="s">
        <v>16</v>
      </c>
      <c r="D1091" t="s">
        <v>17</v>
      </c>
      <c r="E1091" s="1">
        <v>45651</v>
      </c>
      <c r="F1091" s="4">
        <v>17226</v>
      </c>
      <c r="G1091" s="4">
        <v>239065</v>
      </c>
      <c r="H1091" s="2">
        <v>2731</v>
      </c>
      <c r="I1091" s="16">
        <v>8</v>
      </c>
      <c r="J1091" s="1">
        <v>45659</v>
      </c>
      <c r="K1091" s="3">
        <v>7.2099999999999997E-2</v>
      </c>
      <c r="L1091" s="13">
        <f t="shared" si="37"/>
        <v>11.423671386443019</v>
      </c>
      <c r="M1091" s="16">
        <f t="shared" si="38"/>
        <v>2153.25</v>
      </c>
    </row>
    <row r="1092" spans="1:13" x14ac:dyDescent="0.3">
      <c r="A1092">
        <v>101090</v>
      </c>
      <c r="B1092" t="s">
        <v>18</v>
      </c>
      <c r="C1092" t="s">
        <v>21</v>
      </c>
      <c r="D1092" t="s">
        <v>24</v>
      </c>
      <c r="E1092" s="1">
        <v>45652</v>
      </c>
      <c r="F1092" s="4">
        <v>83680</v>
      </c>
      <c r="G1092" s="4">
        <v>741628</v>
      </c>
      <c r="H1092" s="2">
        <v>2223</v>
      </c>
      <c r="I1092" s="16">
        <v>24</v>
      </c>
      <c r="J1092" s="1">
        <v>45676</v>
      </c>
      <c r="K1092" s="3">
        <v>0.1128</v>
      </c>
      <c r="L1092" s="13">
        <f t="shared" si="37"/>
        <v>2.9974596428398068</v>
      </c>
      <c r="M1092" s="16">
        <f t="shared" si="38"/>
        <v>3486.6666666666665</v>
      </c>
    </row>
    <row r="1093" spans="1:13" x14ac:dyDescent="0.3">
      <c r="A1093">
        <v>101091</v>
      </c>
      <c r="B1093" t="s">
        <v>13</v>
      </c>
      <c r="C1093" t="s">
        <v>11</v>
      </c>
      <c r="D1093" t="s">
        <v>17</v>
      </c>
      <c r="E1093" s="1">
        <v>45653</v>
      </c>
      <c r="F1093" s="4">
        <v>7260</v>
      </c>
      <c r="G1093" s="4">
        <v>238989</v>
      </c>
      <c r="H1093" s="2">
        <v>3971</v>
      </c>
      <c r="I1093" s="16">
        <v>29</v>
      </c>
      <c r="J1093" s="1">
        <v>45682</v>
      </c>
      <c r="K1093" s="3">
        <v>3.04E-2</v>
      </c>
      <c r="L1093" s="13">
        <f t="shared" si="37"/>
        <v>16.61582750670533</v>
      </c>
      <c r="M1093" s="16">
        <f t="shared" si="38"/>
        <v>250.34482758620689</v>
      </c>
    </row>
    <row r="1094" spans="1:13" x14ac:dyDescent="0.3">
      <c r="A1094">
        <v>101092</v>
      </c>
      <c r="B1094" t="s">
        <v>18</v>
      </c>
      <c r="C1094" t="s">
        <v>20</v>
      </c>
      <c r="D1094" t="s">
        <v>15</v>
      </c>
      <c r="E1094" s="1">
        <v>45654</v>
      </c>
      <c r="F1094" s="4">
        <v>58434</v>
      </c>
      <c r="G1094" s="4">
        <v>908678</v>
      </c>
      <c r="H1094" s="2">
        <v>164</v>
      </c>
      <c r="I1094" s="16">
        <v>1</v>
      </c>
      <c r="J1094" s="1">
        <v>45655</v>
      </c>
      <c r="K1094" s="3">
        <v>6.4299999999999996E-2</v>
      </c>
      <c r="L1094" s="13">
        <f t="shared" si="37"/>
        <v>0.18048197491300549</v>
      </c>
      <c r="M1094" s="16">
        <f t="shared" si="38"/>
        <v>58434</v>
      </c>
    </row>
    <row r="1095" spans="1:13" x14ac:dyDescent="0.3">
      <c r="A1095">
        <v>101093</v>
      </c>
      <c r="B1095" t="s">
        <v>18</v>
      </c>
      <c r="C1095" t="s">
        <v>25</v>
      </c>
      <c r="D1095" t="s">
        <v>24</v>
      </c>
      <c r="E1095" s="1">
        <v>45655</v>
      </c>
      <c r="F1095" s="4">
        <v>5106</v>
      </c>
      <c r="G1095" s="4">
        <v>608037</v>
      </c>
      <c r="H1095" s="2">
        <v>4735</v>
      </c>
      <c r="I1095" s="16">
        <v>22</v>
      </c>
      <c r="J1095" s="1">
        <v>45677</v>
      </c>
      <c r="K1095" s="3">
        <v>8.3999999999999995E-3</v>
      </c>
      <c r="L1095" s="13">
        <f t="shared" si="37"/>
        <v>7.7873550458278036</v>
      </c>
      <c r="M1095" s="16">
        <f t="shared" si="38"/>
        <v>232.09090909090909</v>
      </c>
    </row>
    <row r="1096" spans="1:13" x14ac:dyDescent="0.3">
      <c r="A1096">
        <v>101094</v>
      </c>
      <c r="B1096" t="s">
        <v>13</v>
      </c>
      <c r="C1096" t="s">
        <v>16</v>
      </c>
      <c r="D1096" t="s">
        <v>15</v>
      </c>
      <c r="E1096" s="1">
        <v>45656</v>
      </c>
      <c r="F1096" s="4">
        <v>82681</v>
      </c>
      <c r="G1096" s="4">
        <v>296959</v>
      </c>
      <c r="H1096" s="2">
        <v>557</v>
      </c>
      <c r="I1096" s="16">
        <v>12</v>
      </c>
      <c r="J1096" s="1">
        <v>45668</v>
      </c>
      <c r="K1096" s="3">
        <v>0.27839999999999998</v>
      </c>
      <c r="L1096" s="13">
        <f t="shared" si="37"/>
        <v>1.8756798076502144</v>
      </c>
      <c r="M1096" s="16">
        <f t="shared" si="38"/>
        <v>6890.083333333333</v>
      </c>
    </row>
    <row r="1097" spans="1:13" x14ac:dyDescent="0.3">
      <c r="A1097">
        <v>101095</v>
      </c>
      <c r="B1097" t="s">
        <v>13</v>
      </c>
      <c r="C1097" t="s">
        <v>25</v>
      </c>
      <c r="D1097" t="s">
        <v>12</v>
      </c>
      <c r="E1097" s="1">
        <v>45657</v>
      </c>
      <c r="F1097" s="4">
        <v>12046</v>
      </c>
      <c r="G1097" s="4">
        <v>322068</v>
      </c>
      <c r="H1097" s="2">
        <v>4613</v>
      </c>
      <c r="I1097" s="16">
        <v>4</v>
      </c>
      <c r="J1097" s="1">
        <v>45661</v>
      </c>
      <c r="K1097" s="3">
        <v>3.7400000000000003E-2</v>
      </c>
      <c r="L1097" s="13">
        <f t="shared" si="37"/>
        <v>14.323062210464871</v>
      </c>
      <c r="M1097" s="16">
        <f t="shared" si="38"/>
        <v>3011.5</v>
      </c>
    </row>
    <row r="1098" spans="1:13" x14ac:dyDescent="0.3">
      <c r="A1098">
        <v>101096</v>
      </c>
      <c r="B1098" t="s">
        <v>18</v>
      </c>
      <c r="C1098" t="s">
        <v>14</v>
      </c>
      <c r="D1098" t="s">
        <v>12</v>
      </c>
      <c r="E1098" s="1">
        <v>45658</v>
      </c>
      <c r="F1098" s="4">
        <v>25717</v>
      </c>
      <c r="G1098" s="4">
        <v>686625</v>
      </c>
      <c r="H1098" s="2">
        <v>2945</v>
      </c>
      <c r="I1098" s="16">
        <v>17</v>
      </c>
      <c r="J1098" s="1">
        <v>45675</v>
      </c>
      <c r="K1098" s="3">
        <v>3.7499999999999999E-2</v>
      </c>
      <c r="L1098" s="13">
        <f t="shared" si="37"/>
        <v>4.2890952120881121</v>
      </c>
      <c r="M1098" s="16">
        <f t="shared" si="38"/>
        <v>1512.7647058823529</v>
      </c>
    </row>
    <row r="1099" spans="1:13" x14ac:dyDescent="0.3">
      <c r="A1099">
        <v>101097</v>
      </c>
      <c r="B1099" t="s">
        <v>10</v>
      </c>
      <c r="C1099" t="s">
        <v>14</v>
      </c>
      <c r="D1099" t="s">
        <v>17</v>
      </c>
      <c r="E1099" s="1">
        <v>45659</v>
      </c>
      <c r="F1099" s="4">
        <v>32041</v>
      </c>
      <c r="G1099" s="4">
        <v>479632</v>
      </c>
      <c r="H1099" s="2">
        <v>989</v>
      </c>
      <c r="I1099" s="16">
        <v>10</v>
      </c>
      <c r="J1099" s="1">
        <v>45669</v>
      </c>
      <c r="K1099" s="3">
        <v>6.6799999999999998E-2</v>
      </c>
      <c r="L1099" s="13">
        <f t="shared" si="37"/>
        <v>2.0619975314407717</v>
      </c>
      <c r="M1099" s="16">
        <f t="shared" si="38"/>
        <v>3204.1</v>
      </c>
    </row>
    <row r="1100" spans="1:13" x14ac:dyDescent="0.3">
      <c r="A1100">
        <v>101098</v>
      </c>
      <c r="B1100" t="s">
        <v>10</v>
      </c>
      <c r="C1100" t="s">
        <v>14</v>
      </c>
      <c r="D1100" t="s">
        <v>12</v>
      </c>
      <c r="E1100" s="1">
        <v>45660</v>
      </c>
      <c r="F1100" s="4">
        <v>31723</v>
      </c>
      <c r="G1100" s="4">
        <v>183568</v>
      </c>
      <c r="H1100" s="2">
        <v>1842</v>
      </c>
      <c r="I1100" s="16">
        <v>25</v>
      </c>
      <c r="J1100" s="1">
        <v>45685</v>
      </c>
      <c r="K1100" s="3">
        <v>0.17280000000000001</v>
      </c>
      <c r="L1100" s="13">
        <f t="shared" si="37"/>
        <v>10.034428658589732</v>
      </c>
      <c r="M1100" s="16">
        <f t="shared" si="38"/>
        <v>1268.92</v>
      </c>
    </row>
    <row r="1101" spans="1:13" x14ac:dyDescent="0.3">
      <c r="A1101">
        <v>101099</v>
      </c>
      <c r="B1101" t="s">
        <v>18</v>
      </c>
      <c r="C1101" t="s">
        <v>11</v>
      </c>
      <c r="D1101" t="s">
        <v>15</v>
      </c>
      <c r="E1101" s="1">
        <v>45661</v>
      </c>
      <c r="F1101" s="4">
        <v>89160</v>
      </c>
      <c r="G1101" s="4">
        <v>868745</v>
      </c>
      <c r="H1101" s="2">
        <v>1186</v>
      </c>
      <c r="I1101" s="16">
        <v>4</v>
      </c>
      <c r="J1101" s="1">
        <v>45665</v>
      </c>
      <c r="K1101" s="3">
        <v>0.1026</v>
      </c>
      <c r="L1101" s="13">
        <f t="shared" si="37"/>
        <v>1.3651877133105803</v>
      </c>
      <c r="M1101" s="16">
        <f t="shared" si="38"/>
        <v>22290</v>
      </c>
    </row>
    <row r="1102" spans="1:13" x14ac:dyDescent="0.3">
      <c r="A1102">
        <v>101100</v>
      </c>
      <c r="B1102" t="s">
        <v>18</v>
      </c>
      <c r="C1102" t="s">
        <v>21</v>
      </c>
      <c r="D1102" t="s">
        <v>15</v>
      </c>
      <c r="E1102" s="1">
        <v>45662</v>
      </c>
      <c r="F1102" s="4">
        <v>76125</v>
      </c>
      <c r="G1102" s="4">
        <v>346246</v>
      </c>
      <c r="H1102" s="2">
        <v>2736</v>
      </c>
      <c r="I1102" s="16">
        <v>1</v>
      </c>
      <c r="J1102" s="1">
        <v>45663</v>
      </c>
      <c r="K1102" s="3">
        <v>0.21990000000000001</v>
      </c>
      <c r="L1102" s="13">
        <f t="shared" si="37"/>
        <v>7.9018963395967035</v>
      </c>
      <c r="M1102" s="16">
        <f t="shared" si="38"/>
        <v>76125</v>
      </c>
    </row>
    <row r="1103" spans="1:13" x14ac:dyDescent="0.3">
      <c r="A1103">
        <v>101101</v>
      </c>
      <c r="B1103" t="s">
        <v>18</v>
      </c>
      <c r="C1103" t="s">
        <v>20</v>
      </c>
      <c r="D1103" t="s">
        <v>24</v>
      </c>
      <c r="E1103" s="1">
        <v>45663</v>
      </c>
      <c r="F1103" s="4">
        <v>33098</v>
      </c>
      <c r="G1103" s="4">
        <v>387248</v>
      </c>
      <c r="H1103" s="2">
        <v>397</v>
      </c>
      <c r="I1103" s="16">
        <v>29</v>
      </c>
      <c r="J1103" s="1">
        <v>45692</v>
      </c>
      <c r="K1103" s="3">
        <v>8.5500000000000007E-2</v>
      </c>
      <c r="L1103" s="13">
        <f t="shared" si="37"/>
        <v>1.02518282857497</v>
      </c>
      <c r="M1103" s="16">
        <f t="shared" si="38"/>
        <v>1141.3103448275863</v>
      </c>
    </row>
    <row r="1104" spans="1:13" x14ac:dyDescent="0.3">
      <c r="A1104">
        <v>101102</v>
      </c>
      <c r="B1104" t="s">
        <v>10</v>
      </c>
      <c r="C1104" t="s">
        <v>21</v>
      </c>
      <c r="D1104" t="s">
        <v>24</v>
      </c>
      <c r="E1104" s="1">
        <v>45664</v>
      </c>
      <c r="F1104" s="4">
        <v>96250</v>
      </c>
      <c r="G1104" s="4">
        <v>92554</v>
      </c>
      <c r="H1104" s="2">
        <v>4716</v>
      </c>
      <c r="I1104" s="16">
        <v>25</v>
      </c>
      <c r="J1104" s="1">
        <v>45689</v>
      </c>
      <c r="K1104" s="3">
        <v>1.0399</v>
      </c>
      <c r="L1104" s="13">
        <f t="shared" si="37"/>
        <v>50.954037642889553</v>
      </c>
      <c r="M1104" s="16">
        <f t="shared" si="38"/>
        <v>3850</v>
      </c>
    </row>
    <row r="1105" spans="1:13" x14ac:dyDescent="0.3">
      <c r="A1105">
        <v>101103</v>
      </c>
      <c r="B1105" t="s">
        <v>10</v>
      </c>
      <c r="C1105" t="s">
        <v>21</v>
      </c>
      <c r="D1105" t="s">
        <v>15</v>
      </c>
      <c r="E1105" s="1">
        <v>45665</v>
      </c>
      <c r="F1105" s="4">
        <v>17840</v>
      </c>
      <c r="G1105" s="4">
        <v>756891</v>
      </c>
      <c r="H1105" s="2">
        <v>1578</v>
      </c>
      <c r="I1105" s="16">
        <v>12</v>
      </c>
      <c r="J1105" s="1">
        <v>45677</v>
      </c>
      <c r="K1105" s="3">
        <v>2.3599999999999999E-2</v>
      </c>
      <c r="L1105" s="13">
        <f t="shared" si="37"/>
        <v>2.0848444492007436</v>
      </c>
      <c r="M1105" s="16">
        <f t="shared" si="38"/>
        <v>1486.6666666666667</v>
      </c>
    </row>
    <row r="1106" spans="1:13" x14ac:dyDescent="0.3">
      <c r="A1106">
        <v>101104</v>
      </c>
      <c r="B1106" t="s">
        <v>18</v>
      </c>
      <c r="C1106" t="s">
        <v>16</v>
      </c>
      <c r="D1106" t="s">
        <v>15</v>
      </c>
      <c r="E1106" s="1">
        <v>45666</v>
      </c>
      <c r="F1106" s="4">
        <v>10053</v>
      </c>
      <c r="G1106" s="4">
        <v>112512</v>
      </c>
      <c r="H1106" s="2">
        <v>276</v>
      </c>
      <c r="I1106" s="16">
        <v>8</v>
      </c>
      <c r="J1106" s="1">
        <v>45674</v>
      </c>
      <c r="K1106" s="3">
        <v>8.9399999999999993E-2</v>
      </c>
      <c r="L1106" s="13">
        <f t="shared" si="37"/>
        <v>2.4530716723549491</v>
      </c>
      <c r="M1106" s="16">
        <f t="shared" si="38"/>
        <v>1256.625</v>
      </c>
    </row>
    <row r="1107" spans="1:13" x14ac:dyDescent="0.3">
      <c r="A1107">
        <v>101105</v>
      </c>
      <c r="B1107" t="s">
        <v>10</v>
      </c>
      <c r="C1107" t="s">
        <v>25</v>
      </c>
      <c r="D1107" t="s">
        <v>17</v>
      </c>
      <c r="E1107" s="1">
        <v>45667</v>
      </c>
      <c r="F1107" s="4">
        <v>68400</v>
      </c>
      <c r="G1107" s="4">
        <v>192669</v>
      </c>
      <c r="H1107" s="2">
        <v>4088</v>
      </c>
      <c r="I1107" s="16">
        <v>27</v>
      </c>
      <c r="J1107" s="1">
        <v>45694</v>
      </c>
      <c r="K1107" s="3">
        <v>0.35499999999999998</v>
      </c>
      <c r="L1107" s="13">
        <f t="shared" si="37"/>
        <v>21.21773611738266</v>
      </c>
      <c r="M1107" s="16">
        <f t="shared" si="38"/>
        <v>2533.3333333333335</v>
      </c>
    </row>
    <row r="1108" spans="1:13" x14ac:dyDescent="0.3">
      <c r="A1108">
        <v>101106</v>
      </c>
      <c r="B1108" t="s">
        <v>18</v>
      </c>
      <c r="C1108" t="s">
        <v>11</v>
      </c>
      <c r="D1108" t="s">
        <v>22</v>
      </c>
      <c r="E1108" s="1">
        <v>45668</v>
      </c>
      <c r="F1108" s="4">
        <v>6790</v>
      </c>
      <c r="G1108" s="4">
        <v>519712</v>
      </c>
      <c r="H1108" s="2">
        <v>4955</v>
      </c>
      <c r="I1108" s="16">
        <v>3</v>
      </c>
      <c r="J1108" s="1">
        <v>45671</v>
      </c>
      <c r="K1108" s="3">
        <v>1.3100000000000001E-2</v>
      </c>
      <c r="L1108" s="13">
        <f t="shared" si="37"/>
        <v>9.5341265931900736</v>
      </c>
      <c r="M1108" s="16">
        <f t="shared" si="38"/>
        <v>2263.3333333333335</v>
      </c>
    </row>
    <row r="1109" spans="1:13" x14ac:dyDescent="0.3">
      <c r="A1109">
        <v>101107</v>
      </c>
      <c r="B1109" t="s">
        <v>18</v>
      </c>
      <c r="C1109" t="s">
        <v>25</v>
      </c>
      <c r="D1109" t="s">
        <v>15</v>
      </c>
      <c r="E1109" s="1">
        <v>45669</v>
      </c>
      <c r="F1109" s="4">
        <v>46139</v>
      </c>
      <c r="G1109" s="4">
        <v>872042</v>
      </c>
      <c r="H1109" s="2">
        <v>1709</v>
      </c>
      <c r="I1109" s="16">
        <v>23</v>
      </c>
      <c r="J1109" s="1">
        <v>45692</v>
      </c>
      <c r="K1109" s="3">
        <v>5.2900000000000003E-2</v>
      </c>
      <c r="L1109" s="13">
        <f t="shared" si="37"/>
        <v>1.9597679928260334</v>
      </c>
      <c r="M1109" s="16">
        <f t="shared" si="38"/>
        <v>2006.0434782608695</v>
      </c>
    </row>
    <row r="1110" spans="1:13" x14ac:dyDescent="0.3">
      <c r="A1110">
        <v>101108</v>
      </c>
      <c r="B1110" t="s">
        <v>19</v>
      </c>
      <c r="C1110" t="s">
        <v>20</v>
      </c>
      <c r="D1110" t="s">
        <v>15</v>
      </c>
      <c r="E1110" s="1">
        <v>45670</v>
      </c>
      <c r="F1110" s="4">
        <v>78532</v>
      </c>
      <c r="G1110" s="4">
        <v>487241</v>
      </c>
      <c r="H1110" s="2">
        <v>4191</v>
      </c>
      <c r="I1110" s="16">
        <v>19</v>
      </c>
      <c r="J1110" s="1">
        <v>45689</v>
      </c>
      <c r="K1110" s="3">
        <v>0.16120000000000001</v>
      </c>
      <c r="L1110" s="13">
        <f t="shared" si="37"/>
        <v>8.6014928957128003</v>
      </c>
      <c r="M1110" s="16">
        <f t="shared" si="38"/>
        <v>4133.2631578947367</v>
      </c>
    </row>
    <row r="1111" spans="1:13" x14ac:dyDescent="0.3">
      <c r="A1111">
        <v>101109</v>
      </c>
      <c r="B1111" t="s">
        <v>18</v>
      </c>
      <c r="C1111" t="s">
        <v>25</v>
      </c>
      <c r="D1111" t="s">
        <v>24</v>
      </c>
      <c r="E1111" s="1">
        <v>45671</v>
      </c>
      <c r="F1111" s="4">
        <v>34692</v>
      </c>
      <c r="G1111" s="4">
        <v>143315</v>
      </c>
      <c r="H1111" s="2">
        <v>932</v>
      </c>
      <c r="I1111" s="16">
        <v>28</v>
      </c>
      <c r="J1111" s="1">
        <v>45699</v>
      </c>
      <c r="K1111" s="3">
        <v>0.24210000000000001</v>
      </c>
      <c r="L1111" s="13">
        <f t="shared" si="37"/>
        <v>6.5031573805951925</v>
      </c>
      <c r="M1111" s="16">
        <f t="shared" si="38"/>
        <v>1239</v>
      </c>
    </row>
    <row r="1112" spans="1:13" x14ac:dyDescent="0.3">
      <c r="A1112">
        <v>101110</v>
      </c>
      <c r="B1112" t="s">
        <v>18</v>
      </c>
      <c r="C1112" t="s">
        <v>23</v>
      </c>
      <c r="D1112" t="s">
        <v>24</v>
      </c>
      <c r="E1112" s="1">
        <v>45672</v>
      </c>
      <c r="F1112" s="4">
        <v>91841</v>
      </c>
      <c r="G1112" s="4">
        <v>725447</v>
      </c>
      <c r="H1112" s="2">
        <v>2756</v>
      </c>
      <c r="I1112" s="16">
        <v>8</v>
      </c>
      <c r="J1112" s="1">
        <v>45680</v>
      </c>
      <c r="K1112" s="3">
        <v>0.12659999999999999</v>
      </c>
      <c r="L1112" s="13">
        <f t="shared" si="37"/>
        <v>3.7990370075277724</v>
      </c>
      <c r="M1112" s="16">
        <f t="shared" si="38"/>
        <v>11480.125</v>
      </c>
    </row>
    <row r="1113" spans="1:13" x14ac:dyDescent="0.3">
      <c r="A1113">
        <v>101111</v>
      </c>
      <c r="B1113" t="s">
        <v>13</v>
      </c>
      <c r="C1113" t="s">
        <v>11</v>
      </c>
      <c r="D1113" t="s">
        <v>15</v>
      </c>
      <c r="E1113" s="1">
        <v>45673</v>
      </c>
      <c r="F1113" s="4">
        <v>18942</v>
      </c>
      <c r="G1113" s="4">
        <v>198324</v>
      </c>
      <c r="H1113" s="2">
        <v>91</v>
      </c>
      <c r="I1113" s="16">
        <v>10</v>
      </c>
      <c r="J1113" s="1">
        <v>45683</v>
      </c>
      <c r="K1113" s="3">
        <v>9.5500000000000002E-2</v>
      </c>
      <c r="L1113" s="13">
        <f t="shared" si="37"/>
        <v>0.45884512212339407</v>
      </c>
      <c r="M1113" s="16">
        <f t="shared" si="38"/>
        <v>1894.2</v>
      </c>
    </row>
    <row r="1114" spans="1:13" x14ac:dyDescent="0.3">
      <c r="A1114">
        <v>101112</v>
      </c>
      <c r="B1114" t="s">
        <v>13</v>
      </c>
      <c r="C1114" t="s">
        <v>11</v>
      </c>
      <c r="D1114" t="s">
        <v>22</v>
      </c>
      <c r="E1114" s="1">
        <v>45674</v>
      </c>
      <c r="F1114" s="4">
        <v>26219</v>
      </c>
      <c r="G1114" s="4">
        <v>418661</v>
      </c>
      <c r="H1114" s="2">
        <v>2838</v>
      </c>
      <c r="I1114" s="16">
        <v>28</v>
      </c>
      <c r="J1114" s="1">
        <v>45702</v>
      </c>
      <c r="K1114" s="3">
        <v>6.2600000000000003E-2</v>
      </c>
      <c r="L1114" s="13">
        <f t="shared" si="37"/>
        <v>6.7787541710357546</v>
      </c>
      <c r="M1114" s="16">
        <f t="shared" si="38"/>
        <v>936.39285714285711</v>
      </c>
    </row>
    <row r="1115" spans="1:13" x14ac:dyDescent="0.3">
      <c r="A1115">
        <v>101113</v>
      </c>
      <c r="B1115" t="s">
        <v>19</v>
      </c>
      <c r="C1115" t="s">
        <v>20</v>
      </c>
      <c r="D1115" t="s">
        <v>24</v>
      </c>
      <c r="E1115" s="1">
        <v>45675</v>
      </c>
      <c r="F1115" s="4">
        <v>32620</v>
      </c>
      <c r="G1115" s="4">
        <v>869142</v>
      </c>
      <c r="H1115" s="2">
        <v>2982</v>
      </c>
      <c r="I1115" s="16">
        <v>16</v>
      </c>
      <c r="J1115" s="1">
        <v>45691</v>
      </c>
      <c r="K1115" s="3">
        <v>3.7499999999999999E-2</v>
      </c>
      <c r="L1115" s="13">
        <f t="shared" si="37"/>
        <v>3.4309698530274684</v>
      </c>
      <c r="M1115" s="16">
        <f t="shared" si="38"/>
        <v>2038.75</v>
      </c>
    </row>
    <row r="1116" spans="1:13" x14ac:dyDescent="0.3">
      <c r="A1116">
        <v>101114</v>
      </c>
      <c r="B1116" t="s">
        <v>19</v>
      </c>
      <c r="C1116" t="s">
        <v>25</v>
      </c>
      <c r="D1116" t="s">
        <v>22</v>
      </c>
      <c r="E1116" s="1">
        <v>45676</v>
      </c>
      <c r="F1116" s="4">
        <v>59480</v>
      </c>
      <c r="G1116" s="4">
        <v>2274</v>
      </c>
      <c r="H1116" s="2">
        <v>3126</v>
      </c>
      <c r="I1116" s="16">
        <v>24</v>
      </c>
      <c r="J1116" s="1">
        <v>45700</v>
      </c>
      <c r="K1116" s="3">
        <v>26.156600000000001</v>
      </c>
      <c r="L1116" s="13">
        <f t="shared" si="37"/>
        <v>1374.6701846965698</v>
      </c>
      <c r="M1116" s="16">
        <f t="shared" si="38"/>
        <v>2478.3333333333335</v>
      </c>
    </row>
    <row r="1117" spans="1:13" x14ac:dyDescent="0.3">
      <c r="A1117">
        <v>101115</v>
      </c>
      <c r="B1117" t="s">
        <v>18</v>
      </c>
      <c r="C1117" t="s">
        <v>20</v>
      </c>
      <c r="D1117" t="s">
        <v>17</v>
      </c>
      <c r="E1117" s="1">
        <v>45677</v>
      </c>
      <c r="F1117" s="4">
        <v>40229</v>
      </c>
      <c r="G1117" s="4">
        <v>11765</v>
      </c>
      <c r="H1117" s="2">
        <v>388</v>
      </c>
      <c r="I1117" s="16">
        <v>15</v>
      </c>
      <c r="J1117" s="1">
        <v>45692</v>
      </c>
      <c r="K1117" s="3">
        <v>3.4194</v>
      </c>
      <c r="L1117" s="13">
        <f t="shared" si="37"/>
        <v>32.979175520611982</v>
      </c>
      <c r="M1117" s="16">
        <f t="shared" si="38"/>
        <v>2681.9333333333334</v>
      </c>
    </row>
    <row r="1118" spans="1:13" x14ac:dyDescent="0.3">
      <c r="A1118">
        <v>101116</v>
      </c>
      <c r="B1118" t="s">
        <v>18</v>
      </c>
      <c r="C1118" t="s">
        <v>23</v>
      </c>
      <c r="D1118" t="s">
        <v>17</v>
      </c>
      <c r="E1118" s="1">
        <v>45678</v>
      </c>
      <c r="F1118" s="4">
        <v>75311</v>
      </c>
      <c r="G1118" s="4">
        <v>667365</v>
      </c>
      <c r="H1118" s="2">
        <v>4652</v>
      </c>
      <c r="I1118" s="16">
        <v>26</v>
      </c>
      <c r="J1118" s="1">
        <v>45704</v>
      </c>
      <c r="K1118" s="3">
        <v>0.1128</v>
      </c>
      <c r="L1118" s="13">
        <f t="shared" si="37"/>
        <v>6.9706981936421597</v>
      </c>
      <c r="M1118" s="16">
        <f t="shared" si="38"/>
        <v>2896.5769230769229</v>
      </c>
    </row>
    <row r="1119" spans="1:13" x14ac:dyDescent="0.3">
      <c r="A1119">
        <v>101117</v>
      </c>
      <c r="B1119" t="s">
        <v>10</v>
      </c>
      <c r="C1119" t="s">
        <v>21</v>
      </c>
      <c r="D1119" t="s">
        <v>22</v>
      </c>
      <c r="E1119" s="1">
        <v>45679</v>
      </c>
      <c r="F1119" s="4">
        <v>80479</v>
      </c>
      <c r="G1119" s="4">
        <v>528641</v>
      </c>
      <c r="H1119" s="2">
        <v>2201</v>
      </c>
      <c r="I1119" s="16">
        <v>6</v>
      </c>
      <c r="J1119" s="1">
        <v>45685</v>
      </c>
      <c r="K1119" s="3">
        <v>0.1522</v>
      </c>
      <c r="L1119" s="13">
        <f t="shared" si="37"/>
        <v>4.1635060466365648</v>
      </c>
      <c r="M1119" s="16">
        <f t="shared" si="38"/>
        <v>13413.166666666666</v>
      </c>
    </row>
    <row r="1120" spans="1:13" x14ac:dyDescent="0.3">
      <c r="A1120">
        <v>101118</v>
      </c>
      <c r="B1120" t="s">
        <v>18</v>
      </c>
      <c r="C1120" t="s">
        <v>23</v>
      </c>
      <c r="D1120" t="s">
        <v>15</v>
      </c>
      <c r="E1120" s="1">
        <v>45680</v>
      </c>
      <c r="F1120" s="4">
        <v>39209</v>
      </c>
      <c r="G1120" s="4">
        <v>645896</v>
      </c>
      <c r="H1120" s="2">
        <v>3481</v>
      </c>
      <c r="I1120" s="16">
        <v>19</v>
      </c>
      <c r="J1120" s="1">
        <v>45699</v>
      </c>
      <c r="K1120" s="3">
        <v>6.0699999999999997E-2</v>
      </c>
      <c r="L1120" s="13">
        <f t="shared" si="37"/>
        <v>5.3894125370028609</v>
      </c>
      <c r="M1120" s="16">
        <f t="shared" si="38"/>
        <v>2063.6315789473683</v>
      </c>
    </row>
    <row r="1121" spans="1:13" x14ac:dyDescent="0.3">
      <c r="A1121">
        <v>101119</v>
      </c>
      <c r="B1121" t="s">
        <v>10</v>
      </c>
      <c r="C1121" t="s">
        <v>16</v>
      </c>
      <c r="D1121" t="s">
        <v>15</v>
      </c>
      <c r="E1121" s="1">
        <v>45681</v>
      </c>
      <c r="F1121" s="4">
        <v>58464</v>
      </c>
      <c r="G1121" s="4">
        <v>905191</v>
      </c>
      <c r="H1121" s="2">
        <v>2326</v>
      </c>
      <c r="I1121" s="16">
        <v>28</v>
      </c>
      <c r="J1121" s="1">
        <v>45709</v>
      </c>
      <c r="K1121" s="3">
        <v>6.4600000000000005E-2</v>
      </c>
      <c r="L1121" s="13">
        <f t="shared" si="37"/>
        <v>2.5696234275418113</v>
      </c>
      <c r="M1121" s="16">
        <f t="shared" si="38"/>
        <v>2088</v>
      </c>
    </row>
    <row r="1122" spans="1:13" x14ac:dyDescent="0.3">
      <c r="A1122">
        <v>101120</v>
      </c>
      <c r="B1122" t="s">
        <v>13</v>
      </c>
      <c r="C1122" t="s">
        <v>23</v>
      </c>
      <c r="D1122" t="s">
        <v>24</v>
      </c>
      <c r="E1122" s="1">
        <v>45682</v>
      </c>
      <c r="F1122" s="4">
        <v>7082</v>
      </c>
      <c r="G1122" s="4">
        <v>654892</v>
      </c>
      <c r="H1122" s="2">
        <v>3911</v>
      </c>
      <c r="I1122" s="16">
        <v>15</v>
      </c>
      <c r="J1122" s="1">
        <v>45697</v>
      </c>
      <c r="K1122" s="3">
        <v>1.0800000000000001E-2</v>
      </c>
      <c r="L1122" s="13">
        <f t="shared" si="37"/>
        <v>5.9719770588127501</v>
      </c>
      <c r="M1122" s="16">
        <f t="shared" si="38"/>
        <v>472.13333333333333</v>
      </c>
    </row>
    <row r="1123" spans="1:13" x14ac:dyDescent="0.3">
      <c r="A1123">
        <v>101121</v>
      </c>
      <c r="B1123" t="s">
        <v>18</v>
      </c>
      <c r="C1123" t="s">
        <v>21</v>
      </c>
      <c r="D1123" t="s">
        <v>24</v>
      </c>
      <c r="E1123" s="1">
        <v>45683</v>
      </c>
      <c r="F1123" s="4">
        <v>94987</v>
      </c>
      <c r="G1123" s="4">
        <v>532748</v>
      </c>
      <c r="H1123" s="2">
        <v>2487</v>
      </c>
      <c r="I1123" s="16">
        <v>7</v>
      </c>
      <c r="J1123" s="1">
        <v>45690</v>
      </c>
      <c r="K1123" s="3">
        <v>0.17829999999999999</v>
      </c>
      <c r="L1123" s="13">
        <f t="shared" si="37"/>
        <v>4.6682484026218773</v>
      </c>
      <c r="M1123" s="16">
        <f t="shared" si="38"/>
        <v>13569.571428571429</v>
      </c>
    </row>
    <row r="1124" spans="1:13" x14ac:dyDescent="0.3">
      <c r="A1124">
        <v>101122</v>
      </c>
      <c r="B1124" t="s">
        <v>10</v>
      </c>
      <c r="C1124" t="s">
        <v>20</v>
      </c>
      <c r="D1124" t="s">
        <v>24</v>
      </c>
      <c r="E1124" s="1">
        <v>45684</v>
      </c>
      <c r="F1124" s="4">
        <v>22964</v>
      </c>
      <c r="G1124" s="4">
        <v>468291</v>
      </c>
      <c r="H1124" s="2">
        <v>1671</v>
      </c>
      <c r="I1124" s="16">
        <v>9</v>
      </c>
      <c r="J1124" s="1">
        <v>45693</v>
      </c>
      <c r="K1124" s="3">
        <v>4.9000000000000002E-2</v>
      </c>
      <c r="L1124" s="13">
        <f t="shared" si="37"/>
        <v>3.5682940735568272</v>
      </c>
      <c r="M1124" s="16">
        <f t="shared" si="38"/>
        <v>2551.5555555555557</v>
      </c>
    </row>
    <row r="1125" spans="1:13" x14ac:dyDescent="0.3">
      <c r="A1125">
        <v>101123</v>
      </c>
      <c r="B1125" t="s">
        <v>18</v>
      </c>
      <c r="C1125" t="s">
        <v>23</v>
      </c>
      <c r="D1125" t="s">
        <v>15</v>
      </c>
      <c r="E1125" s="1">
        <v>45685</v>
      </c>
      <c r="F1125" s="4">
        <v>5343</v>
      </c>
      <c r="G1125" s="4">
        <v>917741</v>
      </c>
      <c r="H1125" s="2">
        <v>1030</v>
      </c>
      <c r="I1125" s="16">
        <v>20</v>
      </c>
      <c r="J1125" s="1">
        <v>45705</v>
      </c>
      <c r="K1125" s="3">
        <v>5.7999999999999996E-3</v>
      </c>
      <c r="L1125" s="13">
        <f t="shared" si="37"/>
        <v>1.122321003420355</v>
      </c>
      <c r="M1125" s="16">
        <f t="shared" si="38"/>
        <v>267.14999999999998</v>
      </c>
    </row>
    <row r="1126" spans="1:13" x14ac:dyDescent="0.3">
      <c r="A1126">
        <v>101124</v>
      </c>
      <c r="B1126" t="s">
        <v>13</v>
      </c>
      <c r="C1126" t="s">
        <v>20</v>
      </c>
      <c r="D1126" t="s">
        <v>12</v>
      </c>
      <c r="E1126" s="1">
        <v>45686</v>
      </c>
      <c r="F1126" s="4">
        <v>49407</v>
      </c>
      <c r="G1126" s="4">
        <v>553346</v>
      </c>
      <c r="H1126" s="2">
        <v>4836</v>
      </c>
      <c r="I1126" s="16">
        <v>7</v>
      </c>
      <c r="J1126" s="1">
        <v>45693</v>
      </c>
      <c r="K1126" s="3">
        <v>8.9300000000000004E-2</v>
      </c>
      <c r="L1126" s="13">
        <f t="shared" si="37"/>
        <v>8.7395589739511994</v>
      </c>
      <c r="M1126" s="16">
        <f t="shared" si="38"/>
        <v>7058.1428571428569</v>
      </c>
    </row>
    <row r="1127" spans="1:13" x14ac:dyDescent="0.3">
      <c r="A1127">
        <v>101125</v>
      </c>
      <c r="B1127" t="s">
        <v>13</v>
      </c>
      <c r="C1127" t="s">
        <v>20</v>
      </c>
      <c r="D1127" t="s">
        <v>15</v>
      </c>
      <c r="E1127" s="1">
        <v>45687</v>
      </c>
      <c r="F1127" s="4">
        <v>93814</v>
      </c>
      <c r="G1127" s="4">
        <v>290840</v>
      </c>
      <c r="H1127" s="2">
        <v>118</v>
      </c>
      <c r="I1127" s="16">
        <v>6</v>
      </c>
      <c r="J1127" s="1">
        <v>45693</v>
      </c>
      <c r="K1127" s="3">
        <v>0.3226</v>
      </c>
      <c r="L1127" s="13">
        <f t="shared" si="37"/>
        <v>0.40572135882272042</v>
      </c>
      <c r="M1127" s="16">
        <f t="shared" si="38"/>
        <v>15635.666666666666</v>
      </c>
    </row>
    <row r="1128" spans="1:13" x14ac:dyDescent="0.3">
      <c r="A1128">
        <v>101126</v>
      </c>
      <c r="B1128" t="s">
        <v>13</v>
      </c>
      <c r="C1128" t="s">
        <v>11</v>
      </c>
      <c r="D1128" t="s">
        <v>22</v>
      </c>
      <c r="E1128" s="1">
        <v>45688</v>
      </c>
      <c r="F1128" s="4">
        <v>79132</v>
      </c>
      <c r="G1128" s="4">
        <v>411168</v>
      </c>
      <c r="H1128" s="2">
        <v>4562</v>
      </c>
      <c r="I1128" s="16">
        <v>25</v>
      </c>
      <c r="J1128" s="1">
        <v>45713</v>
      </c>
      <c r="K1128" s="3">
        <v>0.1925</v>
      </c>
      <c r="L1128" s="13">
        <f t="shared" si="37"/>
        <v>11.095221418009183</v>
      </c>
      <c r="M1128" s="16">
        <f t="shared" si="38"/>
        <v>3165.28</v>
      </c>
    </row>
    <row r="1129" spans="1:13" x14ac:dyDescent="0.3">
      <c r="A1129">
        <v>101127</v>
      </c>
      <c r="B1129" t="s">
        <v>13</v>
      </c>
      <c r="C1129" t="s">
        <v>23</v>
      </c>
      <c r="D1129" t="s">
        <v>15</v>
      </c>
      <c r="E1129" s="1">
        <v>45689</v>
      </c>
      <c r="F1129" s="4">
        <v>17946</v>
      </c>
      <c r="G1129" s="4">
        <v>828426</v>
      </c>
      <c r="H1129" s="2">
        <v>3160</v>
      </c>
      <c r="I1129" s="16">
        <v>12</v>
      </c>
      <c r="J1129" s="1">
        <v>45701</v>
      </c>
      <c r="K1129" s="3">
        <v>2.1700000000000001E-2</v>
      </c>
      <c r="L1129" s="13">
        <f t="shared" si="37"/>
        <v>3.8144626074024717</v>
      </c>
      <c r="M1129" s="16">
        <f t="shared" si="38"/>
        <v>1495.5</v>
      </c>
    </row>
    <row r="1130" spans="1:13" x14ac:dyDescent="0.3">
      <c r="A1130">
        <v>101128</v>
      </c>
      <c r="B1130" t="s">
        <v>13</v>
      </c>
      <c r="C1130" t="s">
        <v>14</v>
      </c>
      <c r="D1130" t="s">
        <v>22</v>
      </c>
      <c r="E1130" s="1">
        <v>45690</v>
      </c>
      <c r="F1130" s="4">
        <v>31983</v>
      </c>
      <c r="G1130" s="4">
        <v>397960</v>
      </c>
      <c r="H1130" s="2">
        <v>2406</v>
      </c>
      <c r="I1130" s="16">
        <v>17</v>
      </c>
      <c r="J1130" s="1">
        <v>45707</v>
      </c>
      <c r="K1130" s="3">
        <v>8.0399999999999999E-2</v>
      </c>
      <c r="L1130" s="13">
        <f t="shared" si="37"/>
        <v>6.0458337521358931</v>
      </c>
      <c r="M1130" s="16">
        <f t="shared" si="38"/>
        <v>1881.3529411764705</v>
      </c>
    </row>
    <row r="1131" spans="1:13" x14ac:dyDescent="0.3">
      <c r="A1131">
        <v>101129</v>
      </c>
      <c r="B1131" t="s">
        <v>19</v>
      </c>
      <c r="C1131" t="s">
        <v>25</v>
      </c>
      <c r="D1131" t="s">
        <v>12</v>
      </c>
      <c r="E1131" s="1">
        <v>45691</v>
      </c>
      <c r="F1131" s="4">
        <v>58114</v>
      </c>
      <c r="G1131" s="4">
        <v>236774</v>
      </c>
      <c r="H1131" s="2">
        <v>3563</v>
      </c>
      <c r="I1131" s="16">
        <v>3</v>
      </c>
      <c r="J1131" s="1">
        <v>45694</v>
      </c>
      <c r="K1131" s="3">
        <v>0.24540000000000001</v>
      </c>
      <c r="L1131" s="13">
        <f t="shared" si="37"/>
        <v>15.048104943954995</v>
      </c>
      <c r="M1131" s="16">
        <f t="shared" si="38"/>
        <v>19371.333333333332</v>
      </c>
    </row>
    <row r="1132" spans="1:13" x14ac:dyDescent="0.3">
      <c r="A1132">
        <v>101130</v>
      </c>
      <c r="B1132" t="s">
        <v>19</v>
      </c>
      <c r="C1132" t="s">
        <v>11</v>
      </c>
      <c r="D1132" t="s">
        <v>22</v>
      </c>
      <c r="E1132" s="1">
        <v>45692</v>
      </c>
      <c r="F1132" s="4">
        <v>36007</v>
      </c>
      <c r="G1132" s="4">
        <v>288261</v>
      </c>
      <c r="H1132" s="2">
        <v>1067</v>
      </c>
      <c r="I1132" s="16">
        <v>7</v>
      </c>
      <c r="J1132" s="1">
        <v>45699</v>
      </c>
      <c r="K1132" s="3">
        <v>0.1249</v>
      </c>
      <c r="L1132" s="13">
        <f t="shared" si="37"/>
        <v>3.701506620736069</v>
      </c>
      <c r="M1132" s="16">
        <f t="shared" si="38"/>
        <v>5143.8571428571431</v>
      </c>
    </row>
    <row r="1133" spans="1:13" x14ac:dyDescent="0.3">
      <c r="A1133">
        <v>101131</v>
      </c>
      <c r="B1133" t="s">
        <v>13</v>
      </c>
      <c r="C1133" t="s">
        <v>25</v>
      </c>
      <c r="D1133" t="s">
        <v>24</v>
      </c>
      <c r="E1133" s="1">
        <v>45693</v>
      </c>
      <c r="F1133" s="4">
        <v>24984</v>
      </c>
      <c r="G1133" s="4">
        <v>53808</v>
      </c>
      <c r="H1133" s="2">
        <v>4500</v>
      </c>
      <c r="I1133" s="16">
        <v>8</v>
      </c>
      <c r="J1133" s="1">
        <v>45701</v>
      </c>
      <c r="K1133" s="3">
        <v>0.46429999999999999</v>
      </c>
      <c r="L1133" s="13">
        <f t="shared" si="37"/>
        <v>83.630686886708304</v>
      </c>
      <c r="M1133" s="16">
        <f t="shared" si="38"/>
        <v>3123</v>
      </c>
    </row>
    <row r="1134" spans="1:13" x14ac:dyDescent="0.3">
      <c r="A1134">
        <v>101132</v>
      </c>
      <c r="B1134" t="s">
        <v>18</v>
      </c>
      <c r="C1134" t="s">
        <v>11</v>
      </c>
      <c r="D1134" t="s">
        <v>17</v>
      </c>
      <c r="E1134" s="1">
        <v>45694</v>
      </c>
      <c r="F1134" s="4">
        <v>59917</v>
      </c>
      <c r="G1134" s="4">
        <v>320785</v>
      </c>
      <c r="H1134" s="2">
        <v>2906</v>
      </c>
      <c r="I1134" s="16">
        <v>16</v>
      </c>
      <c r="J1134" s="1">
        <v>45710</v>
      </c>
      <c r="K1134" s="3">
        <v>0.18679999999999999</v>
      </c>
      <c r="L1134" s="13">
        <f t="shared" si="37"/>
        <v>9.0590270742085828</v>
      </c>
      <c r="M1134" s="16">
        <f t="shared" si="38"/>
        <v>3744.8125</v>
      </c>
    </row>
    <row r="1135" spans="1:13" x14ac:dyDescent="0.3">
      <c r="A1135">
        <v>101133</v>
      </c>
      <c r="B1135" t="s">
        <v>10</v>
      </c>
      <c r="C1135" t="s">
        <v>20</v>
      </c>
      <c r="D1135" t="s">
        <v>24</v>
      </c>
      <c r="E1135" s="1">
        <v>45695</v>
      </c>
      <c r="F1135" s="4">
        <v>36584</v>
      </c>
      <c r="G1135" s="4">
        <v>291033</v>
      </c>
      <c r="H1135" s="2">
        <v>3108</v>
      </c>
      <c r="I1135" s="16">
        <v>27</v>
      </c>
      <c r="J1135" s="1">
        <v>45722</v>
      </c>
      <c r="K1135" s="3">
        <v>0.12570000000000001</v>
      </c>
      <c r="L1135" s="13">
        <f t="shared" si="37"/>
        <v>10.67920132768449</v>
      </c>
      <c r="M1135" s="16">
        <f t="shared" si="38"/>
        <v>1354.962962962963</v>
      </c>
    </row>
    <row r="1136" spans="1:13" x14ac:dyDescent="0.3">
      <c r="A1136">
        <v>101134</v>
      </c>
      <c r="B1136" t="s">
        <v>19</v>
      </c>
      <c r="C1136" t="s">
        <v>20</v>
      </c>
      <c r="D1136" t="s">
        <v>15</v>
      </c>
      <c r="E1136" s="1">
        <v>45696</v>
      </c>
      <c r="F1136" s="4">
        <v>65561</v>
      </c>
      <c r="G1136" s="4">
        <v>68818</v>
      </c>
      <c r="H1136" s="2">
        <v>3069</v>
      </c>
      <c r="I1136" s="16">
        <v>4</v>
      </c>
      <c r="J1136" s="1">
        <v>45700</v>
      </c>
      <c r="K1136" s="3">
        <v>0.95269999999999999</v>
      </c>
      <c r="L1136" s="13">
        <f t="shared" si="37"/>
        <v>44.59589061001482</v>
      </c>
      <c r="M1136" s="16">
        <f t="shared" si="38"/>
        <v>16390.25</v>
      </c>
    </row>
    <row r="1137" spans="1:13" x14ac:dyDescent="0.3">
      <c r="A1137">
        <v>101135</v>
      </c>
      <c r="B1137" t="s">
        <v>18</v>
      </c>
      <c r="C1137" t="s">
        <v>25</v>
      </c>
      <c r="D1137" t="s">
        <v>15</v>
      </c>
      <c r="E1137" s="1">
        <v>45697</v>
      </c>
      <c r="F1137" s="4">
        <v>26514</v>
      </c>
      <c r="G1137" s="4">
        <v>445400</v>
      </c>
      <c r="H1137" s="2">
        <v>1064</v>
      </c>
      <c r="I1137" s="16">
        <v>22</v>
      </c>
      <c r="J1137" s="1">
        <v>45719</v>
      </c>
      <c r="K1137" s="3">
        <v>5.9499999999999997E-2</v>
      </c>
      <c r="L1137" s="13">
        <f t="shared" si="37"/>
        <v>2.388863942523574</v>
      </c>
      <c r="M1137" s="16">
        <f t="shared" si="38"/>
        <v>1205.1818181818182</v>
      </c>
    </row>
    <row r="1138" spans="1:13" x14ac:dyDescent="0.3">
      <c r="A1138">
        <v>101136</v>
      </c>
      <c r="B1138" t="s">
        <v>13</v>
      </c>
      <c r="C1138" t="s">
        <v>25</v>
      </c>
      <c r="D1138" t="s">
        <v>17</v>
      </c>
      <c r="E1138" s="1">
        <v>45698</v>
      </c>
      <c r="F1138" s="4">
        <v>56020</v>
      </c>
      <c r="G1138" s="4">
        <v>787618</v>
      </c>
      <c r="H1138" s="2">
        <v>623</v>
      </c>
      <c r="I1138" s="16">
        <v>23</v>
      </c>
      <c r="J1138" s="1">
        <v>45721</v>
      </c>
      <c r="K1138" s="3">
        <v>7.1099999999999997E-2</v>
      </c>
      <c r="L1138" s="13">
        <f t="shared" si="37"/>
        <v>0.79099258777732362</v>
      </c>
      <c r="M1138" s="16">
        <f t="shared" si="38"/>
        <v>2435.6521739130435</v>
      </c>
    </row>
    <row r="1139" spans="1:13" x14ac:dyDescent="0.3">
      <c r="A1139">
        <v>101137</v>
      </c>
      <c r="B1139" t="s">
        <v>13</v>
      </c>
      <c r="C1139" t="s">
        <v>23</v>
      </c>
      <c r="D1139" t="s">
        <v>15</v>
      </c>
      <c r="E1139" s="1">
        <v>45699</v>
      </c>
      <c r="F1139" s="4">
        <v>46339</v>
      </c>
      <c r="G1139" s="4">
        <v>85289</v>
      </c>
      <c r="H1139" s="2">
        <v>3466</v>
      </c>
      <c r="I1139" s="16">
        <v>13</v>
      </c>
      <c r="J1139" s="1">
        <v>45712</v>
      </c>
      <c r="K1139" s="3">
        <v>0.54330000000000001</v>
      </c>
      <c r="L1139" s="13">
        <f t="shared" si="37"/>
        <v>40.638300366987536</v>
      </c>
      <c r="M1139" s="16">
        <f t="shared" si="38"/>
        <v>3564.5384615384614</v>
      </c>
    </row>
    <row r="1140" spans="1:13" x14ac:dyDescent="0.3">
      <c r="A1140">
        <v>101138</v>
      </c>
      <c r="B1140" t="s">
        <v>18</v>
      </c>
      <c r="C1140" t="s">
        <v>23</v>
      </c>
      <c r="D1140" t="s">
        <v>24</v>
      </c>
      <c r="E1140" s="1">
        <v>45700</v>
      </c>
      <c r="F1140" s="4">
        <v>20077</v>
      </c>
      <c r="G1140" s="4">
        <v>362045</v>
      </c>
      <c r="H1140" s="2">
        <v>3928</v>
      </c>
      <c r="I1140" s="16">
        <v>18</v>
      </c>
      <c r="J1140" s="1">
        <v>45718</v>
      </c>
      <c r="K1140" s="3">
        <v>5.5500000000000001E-2</v>
      </c>
      <c r="L1140" s="13">
        <f t="shared" si="37"/>
        <v>10.849480037011974</v>
      </c>
      <c r="M1140" s="16">
        <f t="shared" si="38"/>
        <v>1115.3888888888889</v>
      </c>
    </row>
    <row r="1141" spans="1:13" x14ac:dyDescent="0.3">
      <c r="A1141">
        <v>101139</v>
      </c>
      <c r="B1141" t="s">
        <v>13</v>
      </c>
      <c r="C1141" t="s">
        <v>11</v>
      </c>
      <c r="D1141" t="s">
        <v>24</v>
      </c>
      <c r="E1141" s="1">
        <v>45701</v>
      </c>
      <c r="F1141" s="4">
        <v>72142</v>
      </c>
      <c r="G1141" s="4">
        <v>606856</v>
      </c>
      <c r="H1141" s="2">
        <v>3589</v>
      </c>
      <c r="I1141" s="16">
        <v>23</v>
      </c>
      <c r="J1141" s="1">
        <v>45724</v>
      </c>
      <c r="K1141" s="3">
        <v>0.11890000000000001</v>
      </c>
      <c r="L1141" s="13">
        <f t="shared" si="37"/>
        <v>5.9140883504488713</v>
      </c>
      <c r="M1141" s="16">
        <f t="shared" si="38"/>
        <v>3136.608695652174</v>
      </c>
    </row>
    <row r="1142" spans="1:13" x14ac:dyDescent="0.3">
      <c r="A1142">
        <v>101140</v>
      </c>
      <c r="B1142" t="s">
        <v>18</v>
      </c>
      <c r="C1142" t="s">
        <v>25</v>
      </c>
      <c r="D1142" t="s">
        <v>15</v>
      </c>
      <c r="E1142" s="1">
        <v>45702</v>
      </c>
      <c r="F1142" s="4">
        <v>44920</v>
      </c>
      <c r="G1142" s="4">
        <v>108218</v>
      </c>
      <c r="H1142" s="2">
        <v>2678</v>
      </c>
      <c r="I1142" s="16">
        <v>21</v>
      </c>
      <c r="J1142" s="1">
        <v>45723</v>
      </c>
      <c r="K1142" s="3">
        <v>0.41510000000000002</v>
      </c>
      <c r="L1142" s="13">
        <f t="shared" si="37"/>
        <v>24.74634533996193</v>
      </c>
      <c r="M1142" s="16">
        <f t="shared" si="38"/>
        <v>2139.0476190476193</v>
      </c>
    </row>
    <row r="1143" spans="1:13" x14ac:dyDescent="0.3">
      <c r="A1143">
        <v>101141</v>
      </c>
      <c r="B1143" t="s">
        <v>10</v>
      </c>
      <c r="C1143" t="s">
        <v>14</v>
      </c>
      <c r="D1143" t="s">
        <v>17</v>
      </c>
      <c r="E1143" s="1">
        <v>45703</v>
      </c>
      <c r="F1143" s="4">
        <v>50856</v>
      </c>
      <c r="G1143" s="4">
        <v>516150</v>
      </c>
      <c r="H1143" s="2">
        <v>18</v>
      </c>
      <c r="I1143" s="16">
        <v>29</v>
      </c>
      <c r="J1143" s="1">
        <v>45732</v>
      </c>
      <c r="K1143" s="3">
        <v>9.8500000000000004E-2</v>
      </c>
      <c r="L1143" s="13">
        <f t="shared" si="37"/>
        <v>3.4873583260680033E-2</v>
      </c>
      <c r="M1143" s="16">
        <f t="shared" si="38"/>
        <v>1753.655172413793</v>
      </c>
    </row>
    <row r="1144" spans="1:13" x14ac:dyDescent="0.3">
      <c r="A1144">
        <v>101142</v>
      </c>
      <c r="B1144" t="s">
        <v>10</v>
      </c>
      <c r="C1144" t="s">
        <v>14</v>
      </c>
      <c r="D1144" t="s">
        <v>12</v>
      </c>
      <c r="E1144" s="1">
        <v>45704</v>
      </c>
      <c r="F1144" s="4">
        <v>92345</v>
      </c>
      <c r="G1144" s="4">
        <v>731315</v>
      </c>
      <c r="H1144" s="2">
        <v>39</v>
      </c>
      <c r="I1144" s="16">
        <v>26</v>
      </c>
      <c r="J1144" s="1">
        <v>45730</v>
      </c>
      <c r="K1144" s="3">
        <v>0.1263</v>
      </c>
      <c r="L1144" s="13">
        <f t="shared" si="37"/>
        <v>5.3328593013954317E-2</v>
      </c>
      <c r="M1144" s="16">
        <f t="shared" si="38"/>
        <v>3551.7307692307691</v>
      </c>
    </row>
    <row r="1145" spans="1:13" x14ac:dyDescent="0.3">
      <c r="A1145">
        <v>101143</v>
      </c>
      <c r="B1145" t="s">
        <v>10</v>
      </c>
      <c r="C1145" t="s">
        <v>21</v>
      </c>
      <c r="D1145" t="s">
        <v>15</v>
      </c>
      <c r="E1145" s="1">
        <v>45705</v>
      </c>
      <c r="F1145" s="4">
        <v>39007</v>
      </c>
      <c r="G1145" s="4">
        <v>21064</v>
      </c>
      <c r="H1145" s="2">
        <v>2082</v>
      </c>
      <c r="I1145" s="16">
        <v>17</v>
      </c>
      <c r="J1145" s="1">
        <v>45722</v>
      </c>
      <c r="K1145" s="3">
        <v>1.8517999999999999</v>
      </c>
      <c r="L1145" s="13">
        <f t="shared" si="37"/>
        <v>98.84162552221801</v>
      </c>
      <c r="M1145" s="16">
        <f t="shared" si="38"/>
        <v>2294.5294117647059</v>
      </c>
    </row>
    <row r="1146" spans="1:13" x14ac:dyDescent="0.3">
      <c r="A1146">
        <v>101144</v>
      </c>
      <c r="B1146" t="s">
        <v>13</v>
      </c>
      <c r="C1146" t="s">
        <v>11</v>
      </c>
      <c r="D1146" t="s">
        <v>24</v>
      </c>
      <c r="E1146" s="1">
        <v>45706</v>
      </c>
      <c r="F1146" s="4">
        <v>15481</v>
      </c>
      <c r="G1146" s="4">
        <v>795924</v>
      </c>
      <c r="H1146" s="2">
        <v>3621</v>
      </c>
      <c r="I1146" s="16">
        <v>29</v>
      </c>
      <c r="J1146" s="1">
        <v>45735</v>
      </c>
      <c r="K1146" s="3">
        <v>1.95E-2</v>
      </c>
      <c r="L1146" s="13">
        <f t="shared" si="37"/>
        <v>4.5494293425000381</v>
      </c>
      <c r="M1146" s="16">
        <f t="shared" si="38"/>
        <v>533.82758620689651</v>
      </c>
    </row>
    <row r="1147" spans="1:13" x14ac:dyDescent="0.3">
      <c r="A1147">
        <v>101145</v>
      </c>
      <c r="B1147" t="s">
        <v>18</v>
      </c>
      <c r="C1147" t="s">
        <v>14</v>
      </c>
      <c r="D1147" t="s">
        <v>17</v>
      </c>
      <c r="E1147" s="1">
        <v>45707</v>
      </c>
      <c r="F1147" s="4">
        <v>88682</v>
      </c>
      <c r="G1147" s="4">
        <v>352622</v>
      </c>
      <c r="H1147" s="2">
        <v>4066</v>
      </c>
      <c r="I1147" s="16">
        <v>5</v>
      </c>
      <c r="J1147" s="1">
        <v>45712</v>
      </c>
      <c r="K1147" s="3">
        <v>0.2515</v>
      </c>
      <c r="L1147" s="13">
        <f t="shared" si="37"/>
        <v>11.530760984850632</v>
      </c>
      <c r="M1147" s="16">
        <f t="shared" si="38"/>
        <v>17736.400000000001</v>
      </c>
    </row>
    <row r="1148" spans="1:13" x14ac:dyDescent="0.3">
      <c r="A1148">
        <v>101146</v>
      </c>
      <c r="B1148" t="s">
        <v>10</v>
      </c>
      <c r="C1148" t="s">
        <v>16</v>
      </c>
      <c r="D1148" t="s">
        <v>22</v>
      </c>
      <c r="E1148" s="1">
        <v>45708</v>
      </c>
      <c r="F1148" s="4">
        <v>64129</v>
      </c>
      <c r="G1148" s="4">
        <v>40197</v>
      </c>
      <c r="H1148" s="2">
        <v>979</v>
      </c>
      <c r="I1148" s="16">
        <v>27</v>
      </c>
      <c r="J1148" s="1">
        <v>45735</v>
      </c>
      <c r="K1148" s="3">
        <v>1.5953999999999999</v>
      </c>
      <c r="L1148" s="13">
        <f t="shared" si="37"/>
        <v>24.355051371992936</v>
      </c>
      <c r="M1148" s="16">
        <f t="shared" si="38"/>
        <v>2375.1481481481483</v>
      </c>
    </row>
    <row r="1149" spans="1:13" x14ac:dyDescent="0.3">
      <c r="A1149">
        <v>101147</v>
      </c>
      <c r="B1149" t="s">
        <v>10</v>
      </c>
      <c r="C1149" t="s">
        <v>20</v>
      </c>
      <c r="D1149" t="s">
        <v>12</v>
      </c>
      <c r="E1149" s="1">
        <v>45709</v>
      </c>
      <c r="F1149" s="4">
        <v>28774</v>
      </c>
      <c r="G1149" s="4">
        <v>331519</v>
      </c>
      <c r="H1149" s="2">
        <v>2434</v>
      </c>
      <c r="I1149" s="16">
        <v>17</v>
      </c>
      <c r="J1149" s="1">
        <v>45726</v>
      </c>
      <c r="K1149" s="3">
        <v>8.6800000000000002E-2</v>
      </c>
      <c r="L1149" s="13">
        <f t="shared" si="37"/>
        <v>7.3419623008032726</v>
      </c>
      <c r="M1149" s="16">
        <f t="shared" si="38"/>
        <v>1692.5882352941176</v>
      </c>
    </row>
    <row r="1150" spans="1:13" x14ac:dyDescent="0.3">
      <c r="A1150">
        <v>101148</v>
      </c>
      <c r="B1150" t="s">
        <v>13</v>
      </c>
      <c r="C1150" t="s">
        <v>20</v>
      </c>
      <c r="D1150" t="s">
        <v>17</v>
      </c>
      <c r="E1150" s="1">
        <v>45710</v>
      </c>
      <c r="F1150" s="4">
        <v>68855</v>
      </c>
      <c r="G1150" s="4">
        <v>655272</v>
      </c>
      <c r="H1150" s="2">
        <v>4515</v>
      </c>
      <c r="I1150" s="16">
        <v>1</v>
      </c>
      <c r="J1150" s="1">
        <v>45711</v>
      </c>
      <c r="K1150" s="3">
        <v>0.1051</v>
      </c>
      <c r="L1150" s="13">
        <f t="shared" si="37"/>
        <v>6.8902684686664468</v>
      </c>
      <c r="M1150" s="16">
        <f t="shared" si="38"/>
        <v>68855</v>
      </c>
    </row>
    <row r="1151" spans="1:13" x14ac:dyDescent="0.3">
      <c r="A1151">
        <v>101149</v>
      </c>
      <c r="B1151" t="s">
        <v>10</v>
      </c>
      <c r="C1151" t="s">
        <v>20</v>
      </c>
      <c r="D1151" t="s">
        <v>15</v>
      </c>
      <c r="E1151" s="1">
        <v>45711</v>
      </c>
      <c r="F1151" s="4">
        <v>53316</v>
      </c>
      <c r="G1151" s="4">
        <v>490946</v>
      </c>
      <c r="H1151" s="2">
        <v>3208</v>
      </c>
      <c r="I1151" s="16">
        <v>27</v>
      </c>
      <c r="J1151" s="1">
        <v>45738</v>
      </c>
      <c r="K1151" s="3">
        <v>0.1086</v>
      </c>
      <c r="L1151" s="13">
        <f t="shared" si="37"/>
        <v>6.5343235304901155</v>
      </c>
      <c r="M1151" s="16">
        <f t="shared" si="38"/>
        <v>1974.6666666666667</v>
      </c>
    </row>
    <row r="1152" spans="1:13" x14ac:dyDescent="0.3">
      <c r="A1152">
        <v>101150</v>
      </c>
      <c r="B1152" t="s">
        <v>18</v>
      </c>
      <c r="C1152" t="s">
        <v>25</v>
      </c>
      <c r="D1152" t="s">
        <v>17</v>
      </c>
      <c r="E1152" s="1">
        <v>45712</v>
      </c>
      <c r="F1152" s="4">
        <v>60113</v>
      </c>
      <c r="G1152" s="4">
        <v>890579</v>
      </c>
      <c r="H1152" s="2">
        <v>4408</v>
      </c>
      <c r="I1152" s="16">
        <v>22</v>
      </c>
      <c r="J1152" s="1">
        <v>45734</v>
      </c>
      <c r="K1152" s="3">
        <v>6.7500000000000004E-2</v>
      </c>
      <c r="L1152" s="13">
        <f t="shared" si="37"/>
        <v>4.9495889752621602</v>
      </c>
      <c r="M1152" s="16">
        <f t="shared" si="38"/>
        <v>2732.409090909091</v>
      </c>
    </row>
    <row r="1153" spans="1:13" x14ac:dyDescent="0.3">
      <c r="A1153">
        <v>101151</v>
      </c>
      <c r="B1153" t="s">
        <v>10</v>
      </c>
      <c r="C1153" t="s">
        <v>25</v>
      </c>
      <c r="D1153" t="s">
        <v>17</v>
      </c>
      <c r="E1153" s="1">
        <v>45713</v>
      </c>
      <c r="F1153" s="4">
        <v>93206</v>
      </c>
      <c r="G1153" s="4">
        <v>575198</v>
      </c>
      <c r="H1153" s="2">
        <v>3310</v>
      </c>
      <c r="I1153" s="16">
        <v>11</v>
      </c>
      <c r="J1153" s="1">
        <v>45724</v>
      </c>
      <c r="K1153" s="3">
        <v>0.16200000000000001</v>
      </c>
      <c r="L1153" s="13">
        <f t="shared" si="37"/>
        <v>5.7545401757307921</v>
      </c>
      <c r="M1153" s="16">
        <f t="shared" si="38"/>
        <v>8473.2727272727279</v>
      </c>
    </row>
    <row r="1154" spans="1:13" x14ac:dyDescent="0.3">
      <c r="A1154">
        <v>101152</v>
      </c>
      <c r="B1154" t="s">
        <v>18</v>
      </c>
      <c r="C1154" t="s">
        <v>11</v>
      </c>
      <c r="D1154" t="s">
        <v>24</v>
      </c>
      <c r="E1154" s="1">
        <v>45714</v>
      </c>
      <c r="F1154" s="4">
        <v>78160</v>
      </c>
      <c r="G1154" s="4">
        <v>653305</v>
      </c>
      <c r="H1154" s="2">
        <v>3293</v>
      </c>
      <c r="I1154" s="16">
        <v>27</v>
      </c>
      <c r="J1154" s="1">
        <v>45741</v>
      </c>
      <c r="K1154" s="3">
        <v>0.1196</v>
      </c>
      <c r="L1154" s="13">
        <f t="shared" ref="L1154:L1217" si="39">H1154/G1154*1000</f>
        <v>5.0405247166331195</v>
      </c>
      <c r="M1154" s="16">
        <f t="shared" ref="M1154:M1217" si="40">IFERROR(F1154/I1154,"No Data")</f>
        <v>2894.8148148148148</v>
      </c>
    </row>
    <row r="1155" spans="1:13" x14ac:dyDescent="0.3">
      <c r="A1155">
        <v>101153</v>
      </c>
      <c r="B1155" t="s">
        <v>18</v>
      </c>
      <c r="C1155" t="s">
        <v>20</v>
      </c>
      <c r="D1155" t="s">
        <v>15</v>
      </c>
      <c r="E1155" s="1">
        <v>45715</v>
      </c>
      <c r="F1155" s="4">
        <v>23781</v>
      </c>
      <c r="G1155" s="4">
        <v>128701</v>
      </c>
      <c r="H1155" s="2">
        <v>677</v>
      </c>
      <c r="I1155" s="16">
        <v>6</v>
      </c>
      <c r="J1155" s="1">
        <v>45721</v>
      </c>
      <c r="K1155" s="3">
        <v>0.18479999999999999</v>
      </c>
      <c r="L1155" s="13">
        <f t="shared" si="39"/>
        <v>5.2602543880777928</v>
      </c>
      <c r="M1155" s="16">
        <f t="shared" si="40"/>
        <v>3963.5</v>
      </c>
    </row>
    <row r="1156" spans="1:13" x14ac:dyDescent="0.3">
      <c r="A1156">
        <v>101154</v>
      </c>
      <c r="B1156" t="s">
        <v>13</v>
      </c>
      <c r="C1156" t="s">
        <v>16</v>
      </c>
      <c r="D1156" t="s">
        <v>24</v>
      </c>
      <c r="E1156" s="1">
        <v>45716</v>
      </c>
      <c r="F1156" s="4">
        <v>66289</v>
      </c>
      <c r="G1156" s="4">
        <v>524467</v>
      </c>
      <c r="H1156" s="2">
        <v>366</v>
      </c>
      <c r="I1156" s="16">
        <v>25</v>
      </c>
      <c r="J1156" s="1">
        <v>45741</v>
      </c>
      <c r="K1156" s="3">
        <v>0.12640000000000001</v>
      </c>
      <c r="L1156" s="13">
        <f t="shared" si="39"/>
        <v>0.69785134241048541</v>
      </c>
      <c r="M1156" s="16">
        <f t="shared" si="40"/>
        <v>2651.56</v>
      </c>
    </row>
    <row r="1157" spans="1:13" x14ac:dyDescent="0.3">
      <c r="A1157">
        <v>101155</v>
      </c>
      <c r="B1157" t="s">
        <v>18</v>
      </c>
      <c r="C1157" t="s">
        <v>23</v>
      </c>
      <c r="D1157" t="s">
        <v>24</v>
      </c>
      <c r="E1157" s="1">
        <v>45717</v>
      </c>
      <c r="F1157" s="4">
        <v>6016</v>
      </c>
      <c r="G1157" s="4">
        <v>677558</v>
      </c>
      <c r="H1157" s="2">
        <v>4943</v>
      </c>
      <c r="I1157" s="16">
        <v>26</v>
      </c>
      <c r="J1157" s="1">
        <v>45743</v>
      </c>
      <c r="K1157" s="3">
        <v>8.8999999999999999E-3</v>
      </c>
      <c r="L1157" s="13">
        <f t="shared" si="39"/>
        <v>7.2953164157164405</v>
      </c>
      <c r="M1157" s="16">
        <f t="shared" si="40"/>
        <v>231.38461538461539</v>
      </c>
    </row>
    <row r="1158" spans="1:13" x14ac:dyDescent="0.3">
      <c r="A1158">
        <v>101156</v>
      </c>
      <c r="B1158" t="s">
        <v>18</v>
      </c>
      <c r="C1158" t="s">
        <v>16</v>
      </c>
      <c r="D1158" t="s">
        <v>17</v>
      </c>
      <c r="E1158" s="1">
        <v>45718</v>
      </c>
      <c r="F1158" s="4">
        <v>75065</v>
      </c>
      <c r="G1158" s="4">
        <v>917257</v>
      </c>
      <c r="H1158" s="2">
        <v>4373</v>
      </c>
      <c r="I1158" s="16">
        <v>23</v>
      </c>
      <c r="J1158" s="1">
        <v>45741</v>
      </c>
      <c r="K1158" s="3">
        <v>8.1799999999999998E-2</v>
      </c>
      <c r="L1158" s="13">
        <f t="shared" si="39"/>
        <v>4.7674752005163219</v>
      </c>
      <c r="M1158" s="16">
        <f t="shared" si="40"/>
        <v>3263.695652173913</v>
      </c>
    </row>
    <row r="1159" spans="1:13" x14ac:dyDescent="0.3">
      <c r="A1159">
        <v>101157</v>
      </c>
      <c r="B1159" t="s">
        <v>18</v>
      </c>
      <c r="C1159" t="s">
        <v>25</v>
      </c>
      <c r="D1159" t="s">
        <v>12</v>
      </c>
      <c r="E1159" s="1">
        <v>45719</v>
      </c>
      <c r="F1159" s="4">
        <v>78385</v>
      </c>
      <c r="G1159" s="4">
        <v>589136</v>
      </c>
      <c r="H1159" s="2">
        <v>1633</v>
      </c>
      <c r="I1159" s="16">
        <v>25</v>
      </c>
      <c r="J1159" s="1">
        <v>45744</v>
      </c>
      <c r="K1159" s="3">
        <v>0.1331</v>
      </c>
      <c r="L1159" s="13">
        <f t="shared" si="39"/>
        <v>2.7718557344993346</v>
      </c>
      <c r="M1159" s="16">
        <f t="shared" si="40"/>
        <v>3135.4</v>
      </c>
    </row>
    <row r="1160" spans="1:13" x14ac:dyDescent="0.3">
      <c r="A1160">
        <v>101158</v>
      </c>
      <c r="B1160" t="s">
        <v>13</v>
      </c>
      <c r="C1160" t="s">
        <v>16</v>
      </c>
      <c r="D1160" t="s">
        <v>12</v>
      </c>
      <c r="E1160" s="1">
        <v>45720</v>
      </c>
      <c r="F1160" s="4">
        <v>76868</v>
      </c>
      <c r="G1160" s="4">
        <v>357048</v>
      </c>
      <c r="H1160" s="2">
        <v>2455</v>
      </c>
      <c r="I1160" s="16">
        <v>9</v>
      </c>
      <c r="J1160" s="1">
        <v>45729</v>
      </c>
      <c r="K1160" s="3">
        <v>0.21529999999999999</v>
      </c>
      <c r="L1160" s="13">
        <f t="shared" si="39"/>
        <v>6.8758262194438835</v>
      </c>
      <c r="M1160" s="16">
        <f t="shared" si="40"/>
        <v>8540.8888888888887</v>
      </c>
    </row>
    <row r="1161" spans="1:13" x14ac:dyDescent="0.3">
      <c r="A1161">
        <v>101159</v>
      </c>
      <c r="B1161" t="s">
        <v>10</v>
      </c>
      <c r="C1161" t="s">
        <v>25</v>
      </c>
      <c r="D1161" t="s">
        <v>12</v>
      </c>
      <c r="E1161" s="1">
        <v>45721</v>
      </c>
      <c r="F1161" s="4">
        <v>53505</v>
      </c>
      <c r="G1161" s="4">
        <v>223099</v>
      </c>
      <c r="H1161" s="2">
        <v>2063</v>
      </c>
      <c r="I1161" s="16">
        <v>17</v>
      </c>
      <c r="J1161" s="1">
        <v>45738</v>
      </c>
      <c r="K1161" s="3">
        <v>0.23980000000000001</v>
      </c>
      <c r="L1161" s="13">
        <f t="shared" si="39"/>
        <v>9.2470158987713962</v>
      </c>
      <c r="M1161" s="16">
        <f t="shared" si="40"/>
        <v>3147.3529411764707</v>
      </c>
    </row>
    <row r="1162" spans="1:13" x14ac:dyDescent="0.3">
      <c r="A1162">
        <v>101160</v>
      </c>
      <c r="B1162" t="s">
        <v>18</v>
      </c>
      <c r="C1162" t="s">
        <v>16</v>
      </c>
      <c r="D1162" t="s">
        <v>12</v>
      </c>
      <c r="E1162" s="1">
        <v>45722</v>
      </c>
      <c r="F1162" s="4">
        <v>93227</v>
      </c>
      <c r="G1162" s="4">
        <v>456031</v>
      </c>
      <c r="H1162" s="2">
        <v>387</v>
      </c>
      <c r="I1162" s="16">
        <v>18</v>
      </c>
      <c r="J1162" s="1">
        <v>45740</v>
      </c>
      <c r="K1162" s="3">
        <v>0.2044</v>
      </c>
      <c r="L1162" s="13">
        <f t="shared" si="39"/>
        <v>0.8486265188112212</v>
      </c>
      <c r="M1162" s="16">
        <f t="shared" si="40"/>
        <v>5179.2777777777774</v>
      </c>
    </row>
    <row r="1163" spans="1:13" x14ac:dyDescent="0.3">
      <c r="A1163">
        <v>101161</v>
      </c>
      <c r="B1163" t="s">
        <v>13</v>
      </c>
      <c r="C1163" t="s">
        <v>21</v>
      </c>
      <c r="D1163" t="s">
        <v>24</v>
      </c>
      <c r="E1163" s="1">
        <v>45723</v>
      </c>
      <c r="F1163" s="4">
        <v>97092</v>
      </c>
      <c r="G1163" s="4">
        <v>797769</v>
      </c>
      <c r="H1163" s="2">
        <v>1641</v>
      </c>
      <c r="I1163" s="16">
        <v>27</v>
      </c>
      <c r="J1163" s="1">
        <v>45750</v>
      </c>
      <c r="K1163" s="3">
        <v>0.1217</v>
      </c>
      <c r="L1163" s="13">
        <f t="shared" si="39"/>
        <v>2.0569864208812323</v>
      </c>
      <c r="M1163" s="16">
        <f t="shared" si="40"/>
        <v>3596</v>
      </c>
    </row>
    <row r="1164" spans="1:13" x14ac:dyDescent="0.3">
      <c r="A1164">
        <v>101162</v>
      </c>
      <c r="B1164" t="s">
        <v>10</v>
      </c>
      <c r="C1164" t="s">
        <v>25</v>
      </c>
      <c r="D1164" t="s">
        <v>12</v>
      </c>
      <c r="E1164" s="1">
        <v>45724</v>
      </c>
      <c r="F1164" s="4">
        <v>12105</v>
      </c>
      <c r="G1164" s="4">
        <v>815345</v>
      </c>
      <c r="H1164" s="2">
        <v>1671</v>
      </c>
      <c r="I1164" s="16">
        <v>1</v>
      </c>
      <c r="J1164" s="1">
        <v>45725</v>
      </c>
      <c r="K1164" s="3">
        <v>1.4800000000000001E-2</v>
      </c>
      <c r="L1164" s="13">
        <f t="shared" si="39"/>
        <v>2.0494391944514287</v>
      </c>
      <c r="M1164" s="16">
        <f t="shared" si="40"/>
        <v>12105</v>
      </c>
    </row>
    <row r="1165" spans="1:13" x14ac:dyDescent="0.3">
      <c r="A1165">
        <v>101163</v>
      </c>
      <c r="B1165" t="s">
        <v>18</v>
      </c>
      <c r="C1165" t="s">
        <v>14</v>
      </c>
      <c r="D1165" t="s">
        <v>22</v>
      </c>
      <c r="E1165" s="1">
        <v>45725</v>
      </c>
      <c r="F1165" s="4">
        <v>12851</v>
      </c>
      <c r="G1165" s="4">
        <v>357008</v>
      </c>
      <c r="H1165" s="2">
        <v>3198</v>
      </c>
      <c r="I1165" s="16">
        <v>19</v>
      </c>
      <c r="J1165" s="1">
        <v>45744</v>
      </c>
      <c r="K1165" s="3">
        <v>3.5999999999999997E-2</v>
      </c>
      <c r="L1165" s="13">
        <f t="shared" si="39"/>
        <v>8.9577824586563874</v>
      </c>
      <c r="M1165" s="16">
        <f t="shared" si="40"/>
        <v>676.36842105263156</v>
      </c>
    </row>
    <row r="1166" spans="1:13" x14ac:dyDescent="0.3">
      <c r="A1166">
        <v>101164</v>
      </c>
      <c r="B1166" t="s">
        <v>18</v>
      </c>
      <c r="C1166" t="s">
        <v>16</v>
      </c>
      <c r="D1166" t="s">
        <v>24</v>
      </c>
      <c r="E1166" s="1">
        <v>45726</v>
      </c>
      <c r="F1166" s="4">
        <v>16834</v>
      </c>
      <c r="G1166" s="4">
        <v>574012</v>
      </c>
      <c r="H1166" s="2">
        <v>3033</v>
      </c>
      <c r="I1166" s="16">
        <v>21</v>
      </c>
      <c r="J1166" s="1">
        <v>45747</v>
      </c>
      <c r="K1166" s="3">
        <v>2.93E-2</v>
      </c>
      <c r="L1166" s="13">
        <f t="shared" si="39"/>
        <v>5.2838616614286806</v>
      </c>
      <c r="M1166" s="16">
        <f t="shared" si="40"/>
        <v>801.61904761904759</v>
      </c>
    </row>
    <row r="1167" spans="1:13" x14ac:dyDescent="0.3">
      <c r="A1167">
        <v>101165</v>
      </c>
      <c r="B1167" t="s">
        <v>10</v>
      </c>
      <c r="C1167" t="s">
        <v>21</v>
      </c>
      <c r="D1167" t="s">
        <v>22</v>
      </c>
      <c r="E1167" s="1">
        <v>45727</v>
      </c>
      <c r="F1167" s="4">
        <v>89920</v>
      </c>
      <c r="G1167" s="4">
        <v>496419</v>
      </c>
      <c r="H1167" s="2">
        <v>2483</v>
      </c>
      <c r="I1167" s="16">
        <v>7</v>
      </c>
      <c r="J1167" s="1">
        <v>45734</v>
      </c>
      <c r="K1167" s="3">
        <v>0.18110000000000001</v>
      </c>
      <c r="L1167" s="13">
        <f t="shared" si="39"/>
        <v>5.0018230567323165</v>
      </c>
      <c r="M1167" s="16">
        <f t="shared" si="40"/>
        <v>12845.714285714286</v>
      </c>
    </row>
    <row r="1168" spans="1:13" x14ac:dyDescent="0.3">
      <c r="A1168">
        <v>101166</v>
      </c>
      <c r="B1168" t="s">
        <v>10</v>
      </c>
      <c r="C1168" t="s">
        <v>14</v>
      </c>
      <c r="D1168" t="s">
        <v>22</v>
      </c>
      <c r="E1168" s="1">
        <v>45728</v>
      </c>
      <c r="F1168" s="4">
        <v>73993</v>
      </c>
      <c r="G1168" s="4">
        <v>433735</v>
      </c>
      <c r="H1168" s="2">
        <v>3377</v>
      </c>
      <c r="I1168" s="16">
        <v>29</v>
      </c>
      <c r="J1168" s="1">
        <v>45757</v>
      </c>
      <c r="K1168" s="3">
        <v>0.1706</v>
      </c>
      <c r="L1168" s="13">
        <f t="shared" si="39"/>
        <v>7.7858600297416629</v>
      </c>
      <c r="M1168" s="16">
        <f t="shared" si="40"/>
        <v>2551.4827586206898</v>
      </c>
    </row>
    <row r="1169" spans="1:13" x14ac:dyDescent="0.3">
      <c r="A1169">
        <v>101167</v>
      </c>
      <c r="B1169" t="s">
        <v>13</v>
      </c>
      <c r="C1169" t="s">
        <v>14</v>
      </c>
      <c r="D1169" t="s">
        <v>24</v>
      </c>
      <c r="E1169" s="1">
        <v>45729</v>
      </c>
      <c r="F1169" s="4">
        <v>11589</v>
      </c>
      <c r="G1169" s="4">
        <v>584834</v>
      </c>
      <c r="H1169" s="2">
        <v>495</v>
      </c>
      <c r="I1169" s="16">
        <v>6</v>
      </c>
      <c r="J1169" s="1">
        <v>45735</v>
      </c>
      <c r="K1169" s="3">
        <v>1.9800000000000002E-2</v>
      </c>
      <c r="L1169" s="13">
        <f t="shared" si="39"/>
        <v>0.84639401949955029</v>
      </c>
      <c r="M1169" s="16">
        <f t="shared" si="40"/>
        <v>1931.5</v>
      </c>
    </row>
    <row r="1170" spans="1:13" x14ac:dyDescent="0.3">
      <c r="A1170">
        <v>101168</v>
      </c>
      <c r="B1170" t="s">
        <v>10</v>
      </c>
      <c r="C1170" t="s">
        <v>21</v>
      </c>
      <c r="D1170" t="s">
        <v>15</v>
      </c>
      <c r="E1170" s="1">
        <v>45730</v>
      </c>
      <c r="F1170" s="4">
        <v>70356</v>
      </c>
      <c r="G1170" s="4">
        <v>324813</v>
      </c>
      <c r="H1170" s="2">
        <v>4642</v>
      </c>
      <c r="I1170" s="16">
        <v>26</v>
      </c>
      <c r="J1170" s="1">
        <v>45756</v>
      </c>
      <c r="K1170" s="3">
        <v>0.21659999999999999</v>
      </c>
      <c r="L1170" s="13">
        <f t="shared" si="39"/>
        <v>14.291299917183117</v>
      </c>
      <c r="M1170" s="16">
        <f t="shared" si="40"/>
        <v>2706</v>
      </c>
    </row>
    <row r="1171" spans="1:13" x14ac:dyDescent="0.3">
      <c r="A1171">
        <v>101169</v>
      </c>
      <c r="B1171" t="s">
        <v>18</v>
      </c>
      <c r="C1171" t="s">
        <v>14</v>
      </c>
      <c r="D1171" t="s">
        <v>22</v>
      </c>
      <c r="E1171" s="1">
        <v>45731</v>
      </c>
      <c r="F1171" s="4">
        <v>79901</v>
      </c>
      <c r="G1171" s="4">
        <v>959002</v>
      </c>
      <c r="H1171" s="2">
        <v>1747</v>
      </c>
      <c r="I1171" s="16">
        <v>11</v>
      </c>
      <c r="J1171" s="1">
        <v>45742</v>
      </c>
      <c r="K1171" s="3">
        <v>8.3299999999999999E-2</v>
      </c>
      <c r="L1171" s="13">
        <f t="shared" si="39"/>
        <v>1.8216854605099884</v>
      </c>
      <c r="M1171" s="16">
        <f t="shared" si="40"/>
        <v>7263.727272727273</v>
      </c>
    </row>
    <row r="1172" spans="1:13" x14ac:dyDescent="0.3">
      <c r="A1172">
        <v>101170</v>
      </c>
      <c r="B1172" t="s">
        <v>18</v>
      </c>
      <c r="C1172" t="s">
        <v>23</v>
      </c>
      <c r="D1172" t="s">
        <v>15</v>
      </c>
      <c r="E1172" s="1">
        <v>45732</v>
      </c>
      <c r="F1172" s="4">
        <v>23255</v>
      </c>
      <c r="G1172" s="4">
        <v>194624</v>
      </c>
      <c r="H1172" s="2">
        <v>3260</v>
      </c>
      <c r="I1172" s="16">
        <v>26</v>
      </c>
      <c r="J1172" s="1">
        <v>45758</v>
      </c>
      <c r="K1172" s="3">
        <v>0.1195</v>
      </c>
      <c r="L1172" s="13">
        <f t="shared" si="39"/>
        <v>16.750246629398223</v>
      </c>
      <c r="M1172" s="16">
        <f t="shared" si="40"/>
        <v>894.42307692307691</v>
      </c>
    </row>
    <row r="1173" spans="1:13" x14ac:dyDescent="0.3">
      <c r="A1173">
        <v>101171</v>
      </c>
      <c r="B1173" t="s">
        <v>10</v>
      </c>
      <c r="C1173" t="s">
        <v>21</v>
      </c>
      <c r="D1173" t="s">
        <v>12</v>
      </c>
      <c r="E1173" s="1">
        <v>45733</v>
      </c>
      <c r="F1173" s="4">
        <v>39950</v>
      </c>
      <c r="G1173" s="4">
        <v>436525</v>
      </c>
      <c r="H1173" s="2">
        <v>1709</v>
      </c>
      <c r="I1173" s="16">
        <v>4</v>
      </c>
      <c r="J1173" s="1">
        <v>45737</v>
      </c>
      <c r="K1173" s="3">
        <v>9.1499999999999998E-2</v>
      </c>
      <c r="L1173" s="13">
        <f t="shared" si="39"/>
        <v>3.9150105950403753</v>
      </c>
      <c r="M1173" s="16">
        <f t="shared" si="40"/>
        <v>9987.5</v>
      </c>
    </row>
    <row r="1174" spans="1:13" x14ac:dyDescent="0.3">
      <c r="A1174">
        <v>101172</v>
      </c>
      <c r="B1174" t="s">
        <v>18</v>
      </c>
      <c r="C1174" t="s">
        <v>16</v>
      </c>
      <c r="D1174" t="s">
        <v>12</v>
      </c>
      <c r="E1174" s="1">
        <v>45734</v>
      </c>
      <c r="F1174" s="4">
        <v>54328</v>
      </c>
      <c r="G1174" s="4">
        <v>599143</v>
      </c>
      <c r="H1174" s="2">
        <v>3169</v>
      </c>
      <c r="I1174" s="16">
        <v>5</v>
      </c>
      <c r="J1174" s="1">
        <v>45739</v>
      </c>
      <c r="K1174" s="3">
        <v>9.0700000000000003E-2</v>
      </c>
      <c r="L1174" s="13">
        <f t="shared" si="39"/>
        <v>5.2892214379538771</v>
      </c>
      <c r="M1174" s="16">
        <f t="shared" si="40"/>
        <v>10865.6</v>
      </c>
    </row>
    <row r="1175" spans="1:13" x14ac:dyDescent="0.3">
      <c r="A1175">
        <v>101173</v>
      </c>
      <c r="B1175" t="s">
        <v>10</v>
      </c>
      <c r="C1175" t="s">
        <v>11</v>
      </c>
      <c r="D1175" t="s">
        <v>24</v>
      </c>
      <c r="E1175" s="1">
        <v>45735</v>
      </c>
      <c r="F1175" s="4">
        <v>14570</v>
      </c>
      <c r="G1175" s="4">
        <v>597852</v>
      </c>
      <c r="H1175" s="2">
        <v>1943</v>
      </c>
      <c r="I1175" s="16">
        <v>19</v>
      </c>
      <c r="J1175" s="1">
        <v>45754</v>
      </c>
      <c r="K1175" s="3">
        <v>2.4400000000000002E-2</v>
      </c>
      <c r="L1175" s="13">
        <f t="shared" si="39"/>
        <v>3.2499682195593556</v>
      </c>
      <c r="M1175" s="16">
        <f t="shared" si="40"/>
        <v>766.84210526315792</v>
      </c>
    </row>
    <row r="1176" spans="1:13" x14ac:dyDescent="0.3">
      <c r="A1176">
        <v>101174</v>
      </c>
      <c r="B1176" t="s">
        <v>13</v>
      </c>
      <c r="C1176" t="s">
        <v>11</v>
      </c>
      <c r="D1176" t="s">
        <v>22</v>
      </c>
      <c r="E1176" s="1">
        <v>45736</v>
      </c>
      <c r="F1176" s="4">
        <v>25231</v>
      </c>
      <c r="G1176" s="4">
        <v>532068</v>
      </c>
      <c r="H1176" s="2">
        <v>2432</v>
      </c>
      <c r="I1176" s="16">
        <v>23</v>
      </c>
      <c r="J1176" s="1">
        <v>45759</v>
      </c>
      <c r="K1176" s="3">
        <v>4.7399999999999998E-2</v>
      </c>
      <c r="L1176" s="13">
        <f t="shared" si="39"/>
        <v>4.5708443281685804</v>
      </c>
      <c r="M1176" s="16">
        <f t="shared" si="40"/>
        <v>1097</v>
      </c>
    </row>
    <row r="1177" spans="1:13" x14ac:dyDescent="0.3">
      <c r="A1177">
        <v>101175</v>
      </c>
      <c r="B1177" t="s">
        <v>10</v>
      </c>
      <c r="C1177" t="s">
        <v>23</v>
      </c>
      <c r="D1177" t="s">
        <v>24</v>
      </c>
      <c r="E1177" s="1">
        <v>45737</v>
      </c>
      <c r="F1177" s="4">
        <v>10966</v>
      </c>
      <c r="G1177" s="4">
        <v>693817</v>
      </c>
      <c r="H1177" s="2">
        <v>594</v>
      </c>
      <c r="I1177" s="16">
        <v>16</v>
      </c>
      <c r="J1177" s="1">
        <v>45753</v>
      </c>
      <c r="K1177" s="3">
        <v>1.5800000000000002E-2</v>
      </c>
      <c r="L1177" s="13">
        <f t="shared" si="39"/>
        <v>0.85613353377043233</v>
      </c>
      <c r="M1177" s="16">
        <f t="shared" si="40"/>
        <v>685.375</v>
      </c>
    </row>
    <row r="1178" spans="1:13" x14ac:dyDescent="0.3">
      <c r="A1178">
        <v>101176</v>
      </c>
      <c r="B1178" t="s">
        <v>13</v>
      </c>
      <c r="C1178" t="s">
        <v>21</v>
      </c>
      <c r="D1178" t="s">
        <v>17</v>
      </c>
      <c r="E1178" s="1">
        <v>45738</v>
      </c>
      <c r="F1178" s="4">
        <v>80991</v>
      </c>
      <c r="G1178" s="4">
        <v>914152</v>
      </c>
      <c r="H1178" s="2">
        <v>1801</v>
      </c>
      <c r="I1178" s="16">
        <v>14</v>
      </c>
      <c r="J1178" s="1">
        <v>45752</v>
      </c>
      <c r="K1178" s="3">
        <v>8.8599999999999998E-2</v>
      </c>
      <c r="L1178" s="13">
        <f t="shared" si="39"/>
        <v>1.9701318817877114</v>
      </c>
      <c r="M1178" s="16">
        <f t="shared" si="40"/>
        <v>5785.0714285714284</v>
      </c>
    </row>
    <row r="1179" spans="1:13" x14ac:dyDescent="0.3">
      <c r="A1179">
        <v>101177</v>
      </c>
      <c r="B1179" t="s">
        <v>18</v>
      </c>
      <c r="C1179" t="s">
        <v>11</v>
      </c>
      <c r="D1179" t="s">
        <v>24</v>
      </c>
      <c r="E1179" s="1">
        <v>45739</v>
      </c>
      <c r="F1179" s="4">
        <v>35485</v>
      </c>
      <c r="G1179" s="4">
        <v>6781</v>
      </c>
      <c r="H1179" s="2">
        <v>326</v>
      </c>
      <c r="I1179" s="16">
        <v>23</v>
      </c>
      <c r="J1179" s="1">
        <v>45762</v>
      </c>
      <c r="K1179" s="3">
        <v>5.2329999999999997</v>
      </c>
      <c r="L1179" s="13">
        <f t="shared" si="39"/>
        <v>48.075505087745171</v>
      </c>
      <c r="M1179" s="16">
        <f t="shared" si="40"/>
        <v>1542.8260869565217</v>
      </c>
    </row>
    <row r="1180" spans="1:13" x14ac:dyDescent="0.3">
      <c r="A1180">
        <v>101178</v>
      </c>
      <c r="B1180" t="s">
        <v>18</v>
      </c>
      <c r="C1180" t="s">
        <v>23</v>
      </c>
      <c r="D1180" t="s">
        <v>15</v>
      </c>
      <c r="E1180" s="1">
        <v>45740</v>
      </c>
      <c r="F1180" s="4">
        <v>27445</v>
      </c>
      <c r="G1180" s="4">
        <v>602670</v>
      </c>
      <c r="H1180" s="2">
        <v>693</v>
      </c>
      <c r="I1180" s="16">
        <v>11</v>
      </c>
      <c r="J1180" s="1">
        <v>45751</v>
      </c>
      <c r="K1180" s="3">
        <v>4.5499999999999999E-2</v>
      </c>
      <c r="L1180" s="13">
        <f t="shared" si="39"/>
        <v>1.1498830205585144</v>
      </c>
      <c r="M1180" s="16">
        <f t="shared" si="40"/>
        <v>2495</v>
      </c>
    </row>
    <row r="1181" spans="1:13" x14ac:dyDescent="0.3">
      <c r="A1181">
        <v>101179</v>
      </c>
      <c r="B1181" t="s">
        <v>18</v>
      </c>
      <c r="C1181" t="s">
        <v>23</v>
      </c>
      <c r="D1181" t="s">
        <v>17</v>
      </c>
      <c r="E1181" s="1">
        <v>45741</v>
      </c>
      <c r="F1181" s="4">
        <v>69142</v>
      </c>
      <c r="G1181" s="4">
        <v>107751</v>
      </c>
      <c r="H1181" s="2">
        <v>573</v>
      </c>
      <c r="I1181" s="16">
        <v>8</v>
      </c>
      <c r="J1181" s="1">
        <v>45749</v>
      </c>
      <c r="K1181" s="3">
        <v>0.64170000000000005</v>
      </c>
      <c r="L1181" s="13">
        <f t="shared" si="39"/>
        <v>5.3178160759528907</v>
      </c>
      <c r="M1181" s="16">
        <f t="shared" si="40"/>
        <v>8642.75</v>
      </c>
    </row>
    <row r="1182" spans="1:13" x14ac:dyDescent="0.3">
      <c r="A1182">
        <v>101180</v>
      </c>
      <c r="B1182" t="s">
        <v>10</v>
      </c>
      <c r="C1182" t="s">
        <v>23</v>
      </c>
      <c r="D1182" t="s">
        <v>12</v>
      </c>
      <c r="E1182" s="1">
        <v>45742</v>
      </c>
      <c r="F1182" s="4">
        <v>65801</v>
      </c>
      <c r="G1182" s="4">
        <v>323677</v>
      </c>
      <c r="H1182" s="2">
        <v>4216</v>
      </c>
      <c r="I1182" s="16">
        <v>26</v>
      </c>
      <c r="J1182" s="1">
        <v>45768</v>
      </c>
      <c r="K1182" s="3">
        <v>0.20330000000000001</v>
      </c>
      <c r="L1182" s="13">
        <f t="shared" si="39"/>
        <v>13.025330808182231</v>
      </c>
      <c r="M1182" s="16">
        <f t="shared" si="40"/>
        <v>2530.8076923076924</v>
      </c>
    </row>
    <row r="1183" spans="1:13" x14ac:dyDescent="0.3">
      <c r="A1183">
        <v>101181</v>
      </c>
      <c r="B1183" t="s">
        <v>18</v>
      </c>
      <c r="C1183" t="s">
        <v>23</v>
      </c>
      <c r="D1183" t="s">
        <v>12</v>
      </c>
      <c r="E1183" s="1">
        <v>45743</v>
      </c>
      <c r="F1183" s="4">
        <v>52970</v>
      </c>
      <c r="G1183" s="4">
        <v>381270</v>
      </c>
      <c r="H1183" s="2">
        <v>1219</v>
      </c>
      <c r="I1183" s="16">
        <v>17</v>
      </c>
      <c r="J1183" s="1">
        <v>45760</v>
      </c>
      <c r="K1183" s="3">
        <v>0.1389</v>
      </c>
      <c r="L1183" s="13">
        <f t="shared" si="39"/>
        <v>3.1972093267238439</v>
      </c>
      <c r="M1183" s="16">
        <f t="shared" si="40"/>
        <v>3115.8823529411766</v>
      </c>
    </row>
    <row r="1184" spans="1:13" x14ac:dyDescent="0.3">
      <c r="A1184">
        <v>101182</v>
      </c>
      <c r="B1184" t="s">
        <v>18</v>
      </c>
      <c r="C1184" t="s">
        <v>16</v>
      </c>
      <c r="D1184" t="s">
        <v>22</v>
      </c>
      <c r="E1184" s="1">
        <v>45744</v>
      </c>
      <c r="F1184" s="4">
        <v>22544</v>
      </c>
      <c r="G1184" s="4">
        <v>664183</v>
      </c>
      <c r="H1184" s="2">
        <v>4076</v>
      </c>
      <c r="I1184" s="16">
        <v>20</v>
      </c>
      <c r="J1184" s="1">
        <v>45764</v>
      </c>
      <c r="K1184" s="3">
        <v>3.39E-2</v>
      </c>
      <c r="L1184" s="13">
        <f t="shared" si="39"/>
        <v>6.1368628826693845</v>
      </c>
      <c r="M1184" s="16">
        <f t="shared" si="40"/>
        <v>1127.2</v>
      </c>
    </row>
    <row r="1185" spans="1:13" x14ac:dyDescent="0.3">
      <c r="A1185">
        <v>101183</v>
      </c>
      <c r="B1185" t="s">
        <v>18</v>
      </c>
      <c r="C1185" t="s">
        <v>11</v>
      </c>
      <c r="D1185" t="s">
        <v>17</v>
      </c>
      <c r="E1185" s="1">
        <v>45745</v>
      </c>
      <c r="F1185" s="4">
        <v>1630</v>
      </c>
      <c r="G1185" s="4">
        <v>985569</v>
      </c>
      <c r="H1185" s="2">
        <v>3914</v>
      </c>
      <c r="I1185" s="16">
        <v>10</v>
      </c>
      <c r="J1185" s="1">
        <v>45755</v>
      </c>
      <c r="K1185" s="3">
        <v>1.6999999999999999E-3</v>
      </c>
      <c r="L1185" s="13">
        <f t="shared" si="39"/>
        <v>3.9713099742382321</v>
      </c>
      <c r="M1185" s="16">
        <f t="shared" si="40"/>
        <v>163</v>
      </c>
    </row>
    <row r="1186" spans="1:13" x14ac:dyDescent="0.3">
      <c r="A1186">
        <v>101184</v>
      </c>
      <c r="B1186" t="s">
        <v>18</v>
      </c>
      <c r="C1186" t="s">
        <v>21</v>
      </c>
      <c r="D1186" t="s">
        <v>24</v>
      </c>
      <c r="E1186" s="1">
        <v>45746</v>
      </c>
      <c r="F1186" s="4">
        <v>95267</v>
      </c>
      <c r="G1186" s="4">
        <v>479598</v>
      </c>
      <c r="H1186" s="2">
        <v>3447</v>
      </c>
      <c r="I1186" s="16">
        <v>14</v>
      </c>
      <c r="J1186" s="1">
        <v>45760</v>
      </c>
      <c r="K1186" s="3">
        <v>0.1986</v>
      </c>
      <c r="L1186" s="13">
        <f t="shared" si="39"/>
        <v>7.1872693380706343</v>
      </c>
      <c r="M1186" s="16">
        <f t="shared" si="40"/>
        <v>6804.7857142857147</v>
      </c>
    </row>
    <row r="1187" spans="1:13" x14ac:dyDescent="0.3">
      <c r="A1187">
        <v>101185</v>
      </c>
      <c r="B1187" t="s">
        <v>10</v>
      </c>
      <c r="C1187" t="s">
        <v>16</v>
      </c>
      <c r="D1187" t="s">
        <v>24</v>
      </c>
      <c r="E1187" s="1">
        <v>45747</v>
      </c>
      <c r="F1187" s="4">
        <v>1648</v>
      </c>
      <c r="G1187" s="4">
        <v>189713</v>
      </c>
      <c r="H1187" s="2">
        <v>1987</v>
      </c>
      <c r="I1187" s="16">
        <v>20</v>
      </c>
      <c r="J1187" s="1">
        <v>45767</v>
      </c>
      <c r="K1187" s="3">
        <v>8.6999999999999994E-3</v>
      </c>
      <c r="L1187" s="13">
        <f t="shared" si="39"/>
        <v>10.473715559819306</v>
      </c>
      <c r="M1187" s="16">
        <f t="shared" si="40"/>
        <v>82.4</v>
      </c>
    </row>
    <row r="1188" spans="1:13" x14ac:dyDescent="0.3">
      <c r="A1188">
        <v>101186</v>
      </c>
      <c r="B1188" t="s">
        <v>18</v>
      </c>
      <c r="C1188" t="s">
        <v>21</v>
      </c>
      <c r="D1188" t="s">
        <v>15</v>
      </c>
      <c r="E1188" s="1">
        <v>45748</v>
      </c>
      <c r="F1188" s="4">
        <v>60073</v>
      </c>
      <c r="G1188" s="4">
        <v>823316</v>
      </c>
      <c r="H1188" s="2">
        <v>1382</v>
      </c>
      <c r="I1188" s="16">
        <v>29</v>
      </c>
      <c r="J1188" s="1">
        <v>45777</v>
      </c>
      <c r="K1188" s="3">
        <v>7.2999999999999995E-2</v>
      </c>
      <c r="L1188" s="13">
        <f t="shared" si="39"/>
        <v>1.6785778486024807</v>
      </c>
      <c r="M1188" s="16">
        <f t="shared" si="40"/>
        <v>2071.4827586206898</v>
      </c>
    </row>
    <row r="1189" spans="1:13" x14ac:dyDescent="0.3">
      <c r="A1189">
        <v>101187</v>
      </c>
      <c r="B1189" t="s">
        <v>19</v>
      </c>
      <c r="C1189" t="s">
        <v>21</v>
      </c>
      <c r="D1189" t="s">
        <v>22</v>
      </c>
      <c r="E1189" s="1">
        <v>45749</v>
      </c>
      <c r="F1189" s="4">
        <v>61216</v>
      </c>
      <c r="G1189" s="4">
        <v>835828</v>
      </c>
      <c r="H1189" s="2">
        <v>3136</v>
      </c>
      <c r="I1189" s="16">
        <v>9</v>
      </c>
      <c r="J1189" s="1">
        <v>45758</v>
      </c>
      <c r="K1189" s="3">
        <v>7.3200000000000001E-2</v>
      </c>
      <c r="L1189" s="13">
        <f t="shared" si="39"/>
        <v>3.7519681082710798</v>
      </c>
      <c r="M1189" s="16">
        <f t="shared" si="40"/>
        <v>6801.7777777777774</v>
      </c>
    </row>
    <row r="1190" spans="1:13" x14ac:dyDescent="0.3">
      <c r="A1190">
        <v>101188</v>
      </c>
      <c r="B1190" t="s">
        <v>18</v>
      </c>
      <c r="C1190" t="s">
        <v>14</v>
      </c>
      <c r="D1190" t="s">
        <v>22</v>
      </c>
      <c r="E1190" s="1">
        <v>45750</v>
      </c>
      <c r="F1190" s="4">
        <v>21761</v>
      </c>
      <c r="G1190" s="4">
        <v>917281</v>
      </c>
      <c r="H1190" s="2">
        <v>2898</v>
      </c>
      <c r="I1190" s="16">
        <v>3</v>
      </c>
      <c r="J1190" s="1">
        <v>45753</v>
      </c>
      <c r="K1190" s="3">
        <v>2.3699999999999999E-2</v>
      </c>
      <c r="L1190" s="13">
        <f t="shared" si="39"/>
        <v>3.1593372150954835</v>
      </c>
      <c r="M1190" s="16">
        <f t="shared" si="40"/>
        <v>7253.666666666667</v>
      </c>
    </row>
    <row r="1191" spans="1:13" x14ac:dyDescent="0.3">
      <c r="A1191">
        <v>101189</v>
      </c>
      <c r="B1191" t="s">
        <v>13</v>
      </c>
      <c r="C1191" t="s">
        <v>23</v>
      </c>
      <c r="D1191" t="s">
        <v>15</v>
      </c>
      <c r="E1191" s="1">
        <v>45751</v>
      </c>
      <c r="F1191" s="4">
        <v>12729</v>
      </c>
      <c r="G1191" s="4">
        <v>27332</v>
      </c>
      <c r="H1191" s="2">
        <v>4604</v>
      </c>
      <c r="I1191" s="16">
        <v>20</v>
      </c>
      <c r="J1191" s="1">
        <v>45771</v>
      </c>
      <c r="K1191" s="3">
        <v>0.4657</v>
      </c>
      <c r="L1191" s="13">
        <f t="shared" si="39"/>
        <v>168.44724132884531</v>
      </c>
      <c r="M1191" s="16">
        <f t="shared" si="40"/>
        <v>636.45000000000005</v>
      </c>
    </row>
    <row r="1192" spans="1:13" x14ac:dyDescent="0.3">
      <c r="A1192">
        <v>101190</v>
      </c>
      <c r="B1192" t="s">
        <v>13</v>
      </c>
      <c r="C1192" t="s">
        <v>21</v>
      </c>
      <c r="D1192" t="s">
        <v>12</v>
      </c>
      <c r="E1192" s="1">
        <v>45752</v>
      </c>
      <c r="F1192" s="4">
        <v>67253</v>
      </c>
      <c r="G1192" s="4">
        <v>355266</v>
      </c>
      <c r="H1192" s="2">
        <v>1832</v>
      </c>
      <c r="I1192" s="16">
        <v>20</v>
      </c>
      <c r="J1192" s="1">
        <v>45772</v>
      </c>
      <c r="K1192" s="3">
        <v>0.1893</v>
      </c>
      <c r="L1192" s="13">
        <f t="shared" si="39"/>
        <v>5.1566994871448433</v>
      </c>
      <c r="M1192" s="16">
        <f t="shared" si="40"/>
        <v>3362.65</v>
      </c>
    </row>
    <row r="1193" spans="1:13" x14ac:dyDescent="0.3">
      <c r="A1193">
        <v>101191</v>
      </c>
      <c r="B1193" t="s">
        <v>18</v>
      </c>
      <c r="C1193" t="s">
        <v>21</v>
      </c>
      <c r="D1193" t="s">
        <v>24</v>
      </c>
      <c r="E1193" s="1">
        <v>45753</v>
      </c>
      <c r="F1193" s="4">
        <v>50143</v>
      </c>
      <c r="G1193" s="4">
        <v>983543</v>
      </c>
      <c r="H1193" s="2">
        <v>4151</v>
      </c>
      <c r="I1193" s="16">
        <v>8</v>
      </c>
      <c r="J1193" s="1">
        <v>45761</v>
      </c>
      <c r="K1193" s="3">
        <v>5.0999999999999997E-2</v>
      </c>
      <c r="L1193" s="13">
        <f t="shared" si="39"/>
        <v>4.2204560451347835</v>
      </c>
      <c r="M1193" s="16">
        <f t="shared" si="40"/>
        <v>6267.875</v>
      </c>
    </row>
    <row r="1194" spans="1:13" x14ac:dyDescent="0.3">
      <c r="A1194">
        <v>101192</v>
      </c>
      <c r="B1194" t="s">
        <v>10</v>
      </c>
      <c r="C1194" t="s">
        <v>25</v>
      </c>
      <c r="D1194" t="s">
        <v>17</v>
      </c>
      <c r="E1194" s="1">
        <v>45754</v>
      </c>
      <c r="F1194" s="4">
        <v>59899</v>
      </c>
      <c r="G1194" s="4">
        <v>847179</v>
      </c>
      <c r="H1194" s="2">
        <v>3332</v>
      </c>
      <c r="I1194" s="16">
        <v>21</v>
      </c>
      <c r="J1194" s="1">
        <v>45775</v>
      </c>
      <c r="K1194" s="3">
        <v>7.0699999999999999E-2</v>
      </c>
      <c r="L1194" s="13">
        <f t="shared" si="39"/>
        <v>3.9330531092012433</v>
      </c>
      <c r="M1194" s="16">
        <f t="shared" si="40"/>
        <v>2852.3333333333335</v>
      </c>
    </row>
    <row r="1195" spans="1:13" x14ac:dyDescent="0.3">
      <c r="A1195">
        <v>101193</v>
      </c>
      <c r="B1195" t="s">
        <v>19</v>
      </c>
      <c r="C1195" t="s">
        <v>11</v>
      </c>
      <c r="D1195" t="s">
        <v>12</v>
      </c>
      <c r="E1195" s="1">
        <v>45755</v>
      </c>
      <c r="F1195" s="4">
        <v>42752</v>
      </c>
      <c r="G1195" s="4">
        <v>197653</v>
      </c>
      <c r="H1195" s="2">
        <v>3239</v>
      </c>
      <c r="I1195" s="16">
        <v>16</v>
      </c>
      <c r="J1195" s="1">
        <v>45771</v>
      </c>
      <c r="K1195" s="3">
        <v>0.21629999999999999</v>
      </c>
      <c r="L1195" s="13">
        <f t="shared" si="39"/>
        <v>16.387305024462062</v>
      </c>
      <c r="M1195" s="16">
        <f t="shared" si="40"/>
        <v>2672</v>
      </c>
    </row>
    <row r="1196" spans="1:13" x14ac:dyDescent="0.3">
      <c r="A1196">
        <v>101194</v>
      </c>
      <c r="B1196" t="s">
        <v>10</v>
      </c>
      <c r="C1196" t="s">
        <v>16</v>
      </c>
      <c r="D1196" t="s">
        <v>22</v>
      </c>
      <c r="E1196" s="1">
        <v>45756</v>
      </c>
      <c r="F1196" s="4">
        <v>31397</v>
      </c>
      <c r="G1196" s="4">
        <v>453799</v>
      </c>
      <c r="H1196" s="2">
        <v>4010</v>
      </c>
      <c r="I1196" s="16">
        <v>2</v>
      </c>
      <c r="J1196" s="1">
        <v>45758</v>
      </c>
      <c r="K1196" s="3">
        <v>6.9199999999999998E-2</v>
      </c>
      <c r="L1196" s="13">
        <f t="shared" si="39"/>
        <v>8.8365113188878777</v>
      </c>
      <c r="M1196" s="16">
        <f t="shared" si="40"/>
        <v>15698.5</v>
      </c>
    </row>
    <row r="1197" spans="1:13" x14ac:dyDescent="0.3">
      <c r="A1197">
        <v>101195</v>
      </c>
      <c r="B1197" t="s">
        <v>18</v>
      </c>
      <c r="C1197" t="s">
        <v>21</v>
      </c>
      <c r="D1197" t="s">
        <v>12</v>
      </c>
      <c r="E1197" s="1">
        <v>45757</v>
      </c>
      <c r="F1197" s="4">
        <v>19737</v>
      </c>
      <c r="G1197" s="4">
        <v>574118</v>
      </c>
      <c r="H1197" s="2">
        <v>4678</v>
      </c>
      <c r="I1197" s="16">
        <v>10</v>
      </c>
      <c r="J1197" s="1">
        <v>45767</v>
      </c>
      <c r="K1197" s="3">
        <v>3.44E-2</v>
      </c>
      <c r="L1197" s="13">
        <f t="shared" si="39"/>
        <v>8.1481507285958639</v>
      </c>
      <c r="M1197" s="16">
        <f t="shared" si="40"/>
        <v>1973.7</v>
      </c>
    </row>
    <row r="1198" spans="1:13" x14ac:dyDescent="0.3">
      <c r="A1198">
        <v>101196</v>
      </c>
      <c r="B1198" t="s">
        <v>18</v>
      </c>
      <c r="C1198" t="s">
        <v>16</v>
      </c>
      <c r="D1198" t="s">
        <v>24</v>
      </c>
      <c r="E1198" s="1">
        <v>45758</v>
      </c>
      <c r="F1198" s="4">
        <v>5504</v>
      </c>
      <c r="G1198" s="4">
        <v>106795</v>
      </c>
      <c r="H1198" s="2">
        <v>2979</v>
      </c>
      <c r="I1198" s="16">
        <v>6</v>
      </c>
      <c r="J1198" s="1">
        <v>45764</v>
      </c>
      <c r="K1198" s="3">
        <v>5.1499999999999997E-2</v>
      </c>
      <c r="L1198" s="13">
        <f t="shared" si="39"/>
        <v>27.894564352263682</v>
      </c>
      <c r="M1198" s="16">
        <f t="shared" si="40"/>
        <v>917.33333333333337</v>
      </c>
    </row>
    <row r="1199" spans="1:13" x14ac:dyDescent="0.3">
      <c r="A1199">
        <v>101197</v>
      </c>
      <c r="B1199" t="s">
        <v>13</v>
      </c>
      <c r="C1199" t="s">
        <v>11</v>
      </c>
      <c r="D1199" t="s">
        <v>17</v>
      </c>
      <c r="E1199" s="1">
        <v>45759</v>
      </c>
      <c r="F1199" s="4">
        <v>20544</v>
      </c>
      <c r="G1199" s="4">
        <v>514482</v>
      </c>
      <c r="H1199" s="2">
        <v>4224</v>
      </c>
      <c r="I1199" s="16">
        <v>1</v>
      </c>
      <c r="J1199" s="1">
        <v>45760</v>
      </c>
      <c r="K1199" s="3">
        <v>3.9899999999999998E-2</v>
      </c>
      <c r="L1199" s="13">
        <f t="shared" si="39"/>
        <v>8.2101997737530183</v>
      </c>
      <c r="M1199" s="16">
        <f t="shared" si="40"/>
        <v>20544</v>
      </c>
    </row>
    <row r="1200" spans="1:13" x14ac:dyDescent="0.3">
      <c r="A1200">
        <v>101198</v>
      </c>
      <c r="B1200" t="s">
        <v>18</v>
      </c>
      <c r="C1200" t="s">
        <v>23</v>
      </c>
      <c r="D1200" t="s">
        <v>17</v>
      </c>
      <c r="E1200" s="1">
        <v>45760</v>
      </c>
      <c r="F1200" s="4">
        <v>72138</v>
      </c>
      <c r="G1200" s="4">
        <v>712637</v>
      </c>
      <c r="H1200" s="2">
        <v>474</v>
      </c>
      <c r="I1200" s="16">
        <v>2</v>
      </c>
      <c r="J1200" s="1">
        <v>45762</v>
      </c>
      <c r="K1200" s="3">
        <v>0.1012</v>
      </c>
      <c r="L1200" s="13">
        <f t="shared" si="39"/>
        <v>0.66513526521917898</v>
      </c>
      <c r="M1200" s="16">
        <f t="shared" si="40"/>
        <v>36069</v>
      </c>
    </row>
    <row r="1201" spans="1:13" x14ac:dyDescent="0.3">
      <c r="A1201">
        <v>101199</v>
      </c>
      <c r="B1201" t="s">
        <v>10</v>
      </c>
      <c r="C1201" t="s">
        <v>23</v>
      </c>
      <c r="D1201" t="s">
        <v>17</v>
      </c>
      <c r="E1201" s="1">
        <v>45761</v>
      </c>
      <c r="F1201" s="4">
        <v>94111</v>
      </c>
      <c r="G1201" s="4">
        <v>900124</v>
      </c>
      <c r="H1201" s="2">
        <v>367</v>
      </c>
      <c r="I1201" s="16">
        <v>23</v>
      </c>
      <c r="J1201" s="1">
        <v>45784</v>
      </c>
      <c r="K1201" s="3">
        <v>0.1046</v>
      </c>
      <c r="L1201" s="13">
        <f t="shared" si="39"/>
        <v>0.4077216028013918</v>
      </c>
      <c r="M1201" s="16">
        <f t="shared" si="40"/>
        <v>4091.782608695652</v>
      </c>
    </row>
    <row r="1202" spans="1:13" x14ac:dyDescent="0.3">
      <c r="A1202">
        <v>101200</v>
      </c>
      <c r="B1202" t="s">
        <v>13</v>
      </c>
      <c r="C1202" t="s">
        <v>21</v>
      </c>
      <c r="D1202" t="s">
        <v>12</v>
      </c>
      <c r="E1202" s="1">
        <v>45762</v>
      </c>
      <c r="F1202" s="4">
        <v>95241</v>
      </c>
      <c r="G1202" s="4">
        <v>339463</v>
      </c>
      <c r="H1202" s="2">
        <v>1788</v>
      </c>
      <c r="I1202" s="16">
        <v>2</v>
      </c>
      <c r="J1202" s="1">
        <v>45764</v>
      </c>
      <c r="K1202" s="3">
        <v>0.28060000000000002</v>
      </c>
      <c r="L1202" s="13">
        <f t="shared" si="39"/>
        <v>5.2671425162683416</v>
      </c>
      <c r="M1202" s="16">
        <f t="shared" si="40"/>
        <v>47620.5</v>
      </c>
    </row>
    <row r="1203" spans="1:13" x14ac:dyDescent="0.3">
      <c r="A1203">
        <v>101201</v>
      </c>
      <c r="B1203" t="s">
        <v>13</v>
      </c>
      <c r="C1203" t="s">
        <v>16</v>
      </c>
      <c r="D1203" t="s">
        <v>22</v>
      </c>
      <c r="E1203" s="1">
        <v>45763</v>
      </c>
      <c r="F1203" s="4">
        <v>17963</v>
      </c>
      <c r="G1203" s="4">
        <v>731634</v>
      </c>
      <c r="H1203" s="2">
        <v>3666</v>
      </c>
      <c r="I1203" s="16">
        <v>17</v>
      </c>
      <c r="J1203" s="1">
        <v>45780</v>
      </c>
      <c r="K1203" s="3">
        <v>2.46E-2</v>
      </c>
      <c r="L1203" s="13">
        <f t="shared" si="39"/>
        <v>5.010702072347649</v>
      </c>
      <c r="M1203" s="16">
        <f t="shared" si="40"/>
        <v>1056.6470588235295</v>
      </c>
    </row>
    <row r="1204" spans="1:13" x14ac:dyDescent="0.3">
      <c r="A1204">
        <v>101202</v>
      </c>
      <c r="B1204" t="s">
        <v>10</v>
      </c>
      <c r="C1204" t="s">
        <v>16</v>
      </c>
      <c r="D1204" t="s">
        <v>17</v>
      </c>
      <c r="E1204" s="1">
        <v>45764</v>
      </c>
      <c r="F1204" s="4">
        <v>19824</v>
      </c>
      <c r="G1204" s="4">
        <v>974637</v>
      </c>
      <c r="H1204" s="2">
        <v>3075</v>
      </c>
      <c r="I1204" s="16">
        <v>16</v>
      </c>
      <c r="J1204" s="1">
        <v>45780</v>
      </c>
      <c r="K1204" s="3">
        <v>2.0299999999999999E-2</v>
      </c>
      <c r="L1204" s="13">
        <f t="shared" si="39"/>
        <v>3.155020792356539</v>
      </c>
      <c r="M1204" s="16">
        <f t="shared" si="40"/>
        <v>1239</v>
      </c>
    </row>
    <row r="1205" spans="1:13" x14ac:dyDescent="0.3">
      <c r="A1205">
        <v>101203</v>
      </c>
      <c r="B1205" t="s">
        <v>10</v>
      </c>
      <c r="C1205" t="s">
        <v>25</v>
      </c>
      <c r="D1205" t="s">
        <v>12</v>
      </c>
      <c r="E1205" s="1">
        <v>45765</v>
      </c>
      <c r="F1205" s="4">
        <v>49735</v>
      </c>
      <c r="G1205" s="4">
        <v>951528</v>
      </c>
      <c r="H1205" s="2">
        <v>1503</v>
      </c>
      <c r="I1205" s="16">
        <v>2</v>
      </c>
      <c r="J1205" s="1">
        <v>45767</v>
      </c>
      <c r="K1205" s="3">
        <v>5.2299999999999999E-2</v>
      </c>
      <c r="L1205" s="13">
        <f t="shared" si="39"/>
        <v>1.5795646581078013</v>
      </c>
      <c r="M1205" s="16">
        <f t="shared" si="40"/>
        <v>24867.5</v>
      </c>
    </row>
    <row r="1206" spans="1:13" x14ac:dyDescent="0.3">
      <c r="A1206">
        <v>101204</v>
      </c>
      <c r="B1206" t="s">
        <v>18</v>
      </c>
      <c r="C1206" t="s">
        <v>14</v>
      </c>
      <c r="D1206" t="s">
        <v>15</v>
      </c>
      <c r="E1206" s="1">
        <v>45766</v>
      </c>
      <c r="F1206" s="4">
        <v>87105</v>
      </c>
      <c r="G1206" s="4">
        <v>211799</v>
      </c>
      <c r="H1206" s="2">
        <v>3535</v>
      </c>
      <c r="I1206" s="16">
        <v>20</v>
      </c>
      <c r="J1206" s="1">
        <v>45786</v>
      </c>
      <c r="K1206" s="3">
        <v>0.4113</v>
      </c>
      <c r="L1206" s="13">
        <f t="shared" si="39"/>
        <v>16.690352645668771</v>
      </c>
      <c r="M1206" s="16">
        <f t="shared" si="40"/>
        <v>4355.25</v>
      </c>
    </row>
    <row r="1207" spans="1:13" x14ac:dyDescent="0.3">
      <c r="A1207">
        <v>101205</v>
      </c>
      <c r="B1207" t="s">
        <v>18</v>
      </c>
      <c r="C1207" t="s">
        <v>23</v>
      </c>
      <c r="D1207" t="s">
        <v>12</v>
      </c>
      <c r="E1207" s="1">
        <v>45767</v>
      </c>
      <c r="F1207" s="4">
        <v>26414</v>
      </c>
      <c r="G1207" s="4">
        <v>507945</v>
      </c>
      <c r="H1207" s="2">
        <v>831</v>
      </c>
      <c r="I1207" s="16">
        <v>29</v>
      </c>
      <c r="J1207" s="1">
        <v>45796</v>
      </c>
      <c r="K1207" s="3">
        <v>5.1999999999999998E-2</v>
      </c>
      <c r="L1207" s="13">
        <f t="shared" si="39"/>
        <v>1.6360038980598293</v>
      </c>
      <c r="M1207" s="16">
        <f t="shared" si="40"/>
        <v>910.82758620689651</v>
      </c>
    </row>
    <row r="1208" spans="1:13" x14ac:dyDescent="0.3">
      <c r="A1208">
        <v>101206</v>
      </c>
      <c r="B1208" t="s">
        <v>13</v>
      </c>
      <c r="C1208" t="s">
        <v>14</v>
      </c>
      <c r="D1208" t="s">
        <v>17</v>
      </c>
      <c r="E1208" s="1">
        <v>45768</v>
      </c>
      <c r="F1208" s="4">
        <v>50746</v>
      </c>
      <c r="G1208" s="4">
        <v>861202</v>
      </c>
      <c r="H1208" s="2">
        <v>4608</v>
      </c>
      <c r="I1208" s="16">
        <v>24</v>
      </c>
      <c r="J1208" s="1">
        <v>45792</v>
      </c>
      <c r="K1208" s="3">
        <v>5.8900000000000001E-2</v>
      </c>
      <c r="L1208" s="13">
        <f t="shared" si="39"/>
        <v>5.3506610528075882</v>
      </c>
      <c r="M1208" s="16">
        <f t="shared" si="40"/>
        <v>2114.4166666666665</v>
      </c>
    </row>
    <row r="1209" spans="1:13" x14ac:dyDescent="0.3">
      <c r="A1209">
        <v>101207</v>
      </c>
      <c r="B1209" t="s">
        <v>13</v>
      </c>
      <c r="C1209" t="s">
        <v>21</v>
      </c>
      <c r="D1209" t="s">
        <v>12</v>
      </c>
      <c r="E1209" s="1">
        <v>45769</v>
      </c>
      <c r="F1209" s="4">
        <v>80417</v>
      </c>
      <c r="G1209" s="4">
        <v>193413</v>
      </c>
      <c r="H1209" s="2">
        <v>3247</v>
      </c>
      <c r="I1209" s="16">
        <v>21</v>
      </c>
      <c r="J1209" s="1">
        <v>45790</v>
      </c>
      <c r="K1209" s="3">
        <v>0.4158</v>
      </c>
      <c r="L1209" s="13">
        <f t="shared" si="39"/>
        <v>16.787909809578466</v>
      </c>
      <c r="M1209" s="16">
        <f t="shared" si="40"/>
        <v>3829.3809523809523</v>
      </c>
    </row>
    <row r="1210" spans="1:13" x14ac:dyDescent="0.3">
      <c r="A1210">
        <v>101208</v>
      </c>
      <c r="B1210" t="s">
        <v>18</v>
      </c>
      <c r="C1210" t="s">
        <v>23</v>
      </c>
      <c r="D1210" t="s">
        <v>15</v>
      </c>
      <c r="E1210" s="1">
        <v>45770</v>
      </c>
      <c r="F1210" s="4">
        <v>70919</v>
      </c>
      <c r="G1210" s="4">
        <v>674964</v>
      </c>
      <c r="H1210" s="2">
        <v>4001</v>
      </c>
      <c r="I1210" s="16">
        <v>23</v>
      </c>
      <c r="J1210" s="1">
        <v>45793</v>
      </c>
      <c r="K1210" s="3">
        <v>0.1051</v>
      </c>
      <c r="L1210" s="13">
        <f t="shared" si="39"/>
        <v>5.9277235526635499</v>
      </c>
      <c r="M1210" s="16">
        <f t="shared" si="40"/>
        <v>3083.4347826086955</v>
      </c>
    </row>
    <row r="1211" spans="1:13" x14ac:dyDescent="0.3">
      <c r="A1211">
        <v>101209</v>
      </c>
      <c r="B1211" t="s">
        <v>13</v>
      </c>
      <c r="C1211" t="s">
        <v>21</v>
      </c>
      <c r="D1211" t="s">
        <v>22</v>
      </c>
      <c r="E1211" s="1">
        <v>45771</v>
      </c>
      <c r="F1211" s="4">
        <v>12047</v>
      </c>
      <c r="G1211" s="4">
        <v>732780</v>
      </c>
      <c r="H1211" s="2">
        <v>2620</v>
      </c>
      <c r="I1211" s="16">
        <v>26</v>
      </c>
      <c r="J1211" s="1">
        <v>45797</v>
      </c>
      <c r="K1211" s="3">
        <v>1.6400000000000001E-2</v>
      </c>
      <c r="L1211" s="13">
        <f t="shared" si="39"/>
        <v>3.5754250934796254</v>
      </c>
      <c r="M1211" s="16">
        <f t="shared" si="40"/>
        <v>463.34615384615387</v>
      </c>
    </row>
    <row r="1212" spans="1:13" x14ac:dyDescent="0.3">
      <c r="A1212">
        <v>101210</v>
      </c>
      <c r="B1212" t="s">
        <v>10</v>
      </c>
      <c r="C1212" t="s">
        <v>21</v>
      </c>
      <c r="D1212" t="s">
        <v>12</v>
      </c>
      <c r="E1212" s="1">
        <v>45772</v>
      </c>
      <c r="F1212" s="4">
        <v>95183</v>
      </c>
      <c r="G1212" s="4">
        <v>215010</v>
      </c>
      <c r="H1212" s="2">
        <v>2156</v>
      </c>
      <c r="I1212" s="16">
        <v>11</v>
      </c>
      <c r="J1212" s="1">
        <v>45783</v>
      </c>
      <c r="K1212" s="3">
        <v>0.44269999999999998</v>
      </c>
      <c r="L1212" s="13">
        <f t="shared" si="39"/>
        <v>10.027440584158876</v>
      </c>
      <c r="M1212" s="16">
        <f t="shared" si="40"/>
        <v>8653</v>
      </c>
    </row>
    <row r="1213" spans="1:13" x14ac:dyDescent="0.3">
      <c r="A1213">
        <v>101211</v>
      </c>
      <c r="B1213" t="s">
        <v>10</v>
      </c>
      <c r="C1213" t="s">
        <v>23</v>
      </c>
      <c r="D1213" t="s">
        <v>17</v>
      </c>
      <c r="E1213" s="1">
        <v>45773</v>
      </c>
      <c r="F1213" s="4">
        <v>64440</v>
      </c>
      <c r="G1213" s="4">
        <v>915049</v>
      </c>
      <c r="H1213" s="2">
        <v>4076</v>
      </c>
      <c r="I1213" s="16">
        <v>22</v>
      </c>
      <c r="J1213" s="1">
        <v>45795</v>
      </c>
      <c r="K1213" s="3">
        <v>7.0400000000000004E-2</v>
      </c>
      <c r="L1213" s="13">
        <f t="shared" si="39"/>
        <v>4.4544062667682276</v>
      </c>
      <c r="M1213" s="16">
        <f t="shared" si="40"/>
        <v>2929.090909090909</v>
      </c>
    </row>
    <row r="1214" spans="1:13" x14ac:dyDescent="0.3">
      <c r="A1214">
        <v>101212</v>
      </c>
      <c r="B1214" t="s">
        <v>13</v>
      </c>
      <c r="C1214" t="s">
        <v>21</v>
      </c>
      <c r="D1214" t="s">
        <v>12</v>
      </c>
      <c r="E1214" s="1">
        <v>45774</v>
      </c>
      <c r="F1214" s="4">
        <v>46035</v>
      </c>
      <c r="G1214" s="4">
        <v>72664</v>
      </c>
      <c r="H1214" s="2">
        <v>4703</v>
      </c>
      <c r="I1214" s="16">
        <v>12</v>
      </c>
      <c r="J1214" s="1">
        <v>45786</v>
      </c>
      <c r="K1214" s="3">
        <v>0.63349999999999995</v>
      </c>
      <c r="L1214" s="13">
        <f t="shared" si="39"/>
        <v>64.722558626004627</v>
      </c>
      <c r="M1214" s="16">
        <f t="shared" si="40"/>
        <v>3836.25</v>
      </c>
    </row>
    <row r="1215" spans="1:13" x14ac:dyDescent="0.3">
      <c r="A1215">
        <v>101213</v>
      </c>
      <c r="B1215" t="s">
        <v>18</v>
      </c>
      <c r="C1215" t="s">
        <v>20</v>
      </c>
      <c r="D1215" t="s">
        <v>12</v>
      </c>
      <c r="E1215" s="1">
        <v>45775</v>
      </c>
      <c r="F1215" s="4">
        <v>56545</v>
      </c>
      <c r="G1215" s="4">
        <v>987547</v>
      </c>
      <c r="H1215" s="2">
        <v>495</v>
      </c>
      <c r="I1215" s="16">
        <v>23</v>
      </c>
      <c r="J1215" s="1">
        <v>45798</v>
      </c>
      <c r="K1215" s="3">
        <v>5.7299999999999997E-2</v>
      </c>
      <c r="L1215" s="13">
        <f t="shared" si="39"/>
        <v>0.50124196620515282</v>
      </c>
      <c r="M1215" s="16">
        <f t="shared" si="40"/>
        <v>2458.478260869565</v>
      </c>
    </row>
    <row r="1216" spans="1:13" x14ac:dyDescent="0.3">
      <c r="A1216">
        <v>101214</v>
      </c>
      <c r="B1216" t="s">
        <v>18</v>
      </c>
      <c r="C1216" t="s">
        <v>16</v>
      </c>
      <c r="D1216" t="s">
        <v>22</v>
      </c>
      <c r="E1216" s="1">
        <v>45776</v>
      </c>
      <c r="F1216" s="4">
        <v>18979</v>
      </c>
      <c r="G1216" s="4">
        <v>660621</v>
      </c>
      <c r="H1216" s="2">
        <v>2266</v>
      </c>
      <c r="I1216" s="16">
        <v>18</v>
      </c>
      <c r="J1216" s="1">
        <v>45794</v>
      </c>
      <c r="K1216" s="3">
        <v>2.87E-2</v>
      </c>
      <c r="L1216" s="13">
        <f t="shared" si="39"/>
        <v>3.4301059154946634</v>
      </c>
      <c r="M1216" s="16">
        <f t="shared" si="40"/>
        <v>1054.3888888888889</v>
      </c>
    </row>
    <row r="1217" spans="1:13" x14ac:dyDescent="0.3">
      <c r="A1217">
        <v>101215</v>
      </c>
      <c r="B1217" t="s">
        <v>13</v>
      </c>
      <c r="C1217" t="s">
        <v>23</v>
      </c>
      <c r="D1217" t="s">
        <v>12</v>
      </c>
      <c r="E1217" s="1">
        <v>45777</v>
      </c>
      <c r="F1217" s="4">
        <v>81173</v>
      </c>
      <c r="G1217" s="4">
        <v>11162</v>
      </c>
      <c r="H1217" s="2">
        <v>2452</v>
      </c>
      <c r="I1217" s="16">
        <v>17</v>
      </c>
      <c r="J1217" s="1">
        <v>45794</v>
      </c>
      <c r="K1217" s="3">
        <v>7.2723000000000004</v>
      </c>
      <c r="L1217" s="13">
        <f t="shared" si="39"/>
        <v>219.67389356746102</v>
      </c>
      <c r="M1217" s="16">
        <f t="shared" si="40"/>
        <v>4774.8823529411766</v>
      </c>
    </row>
    <row r="1218" spans="1:13" x14ac:dyDescent="0.3">
      <c r="A1218">
        <v>101216</v>
      </c>
      <c r="B1218" t="s">
        <v>18</v>
      </c>
      <c r="C1218" t="s">
        <v>25</v>
      </c>
      <c r="D1218" t="s">
        <v>17</v>
      </c>
      <c r="E1218" s="1">
        <v>45778</v>
      </c>
      <c r="F1218" s="4">
        <v>99169</v>
      </c>
      <c r="G1218" s="4">
        <v>969363</v>
      </c>
      <c r="H1218" s="2">
        <v>221</v>
      </c>
      <c r="I1218" s="16">
        <v>7</v>
      </c>
      <c r="J1218" s="1">
        <v>45785</v>
      </c>
      <c r="K1218" s="3">
        <v>0.1023</v>
      </c>
      <c r="L1218" s="13">
        <f t="shared" ref="L1218:L1281" si="41">H1218/G1218*1000</f>
        <v>0.22798476937947909</v>
      </c>
      <c r="M1218" s="16">
        <f t="shared" ref="M1218:M1281" si="42">IFERROR(F1218/I1218,"No Data")</f>
        <v>14167</v>
      </c>
    </row>
    <row r="1219" spans="1:13" x14ac:dyDescent="0.3">
      <c r="A1219">
        <v>101217</v>
      </c>
      <c r="B1219" t="s">
        <v>13</v>
      </c>
      <c r="C1219" t="s">
        <v>23</v>
      </c>
      <c r="D1219" t="s">
        <v>24</v>
      </c>
      <c r="E1219" s="1">
        <v>45779</v>
      </c>
      <c r="F1219" s="4">
        <v>17478</v>
      </c>
      <c r="G1219" s="4">
        <v>378524</v>
      </c>
      <c r="H1219" s="2">
        <v>1711</v>
      </c>
      <c r="I1219" s="16">
        <v>18</v>
      </c>
      <c r="J1219" s="1">
        <v>45797</v>
      </c>
      <c r="K1219" s="3">
        <v>4.6199999999999998E-2</v>
      </c>
      <c r="L1219" s="13">
        <f t="shared" si="41"/>
        <v>4.5201889444262449</v>
      </c>
      <c r="M1219" s="16">
        <f t="shared" si="42"/>
        <v>971</v>
      </c>
    </row>
    <row r="1220" spans="1:13" x14ac:dyDescent="0.3">
      <c r="A1220">
        <v>101218</v>
      </c>
      <c r="B1220" t="s">
        <v>13</v>
      </c>
      <c r="C1220" t="s">
        <v>21</v>
      </c>
      <c r="D1220" t="s">
        <v>17</v>
      </c>
      <c r="E1220" s="1">
        <v>45780</v>
      </c>
      <c r="F1220" s="4">
        <v>95188</v>
      </c>
      <c r="G1220" s="4">
        <v>492689</v>
      </c>
      <c r="H1220" s="2">
        <v>789</v>
      </c>
      <c r="I1220" s="16">
        <v>22</v>
      </c>
      <c r="J1220" s="1">
        <v>45802</v>
      </c>
      <c r="K1220" s="3">
        <v>0.19320000000000001</v>
      </c>
      <c r="L1220" s="13">
        <f t="shared" si="41"/>
        <v>1.6014159033386173</v>
      </c>
      <c r="M1220" s="16">
        <f t="shared" si="42"/>
        <v>4326.727272727273</v>
      </c>
    </row>
    <row r="1221" spans="1:13" x14ac:dyDescent="0.3">
      <c r="A1221">
        <v>101219</v>
      </c>
      <c r="B1221" t="s">
        <v>18</v>
      </c>
      <c r="C1221" t="s">
        <v>25</v>
      </c>
      <c r="D1221" t="s">
        <v>15</v>
      </c>
      <c r="E1221" s="1">
        <v>45781</v>
      </c>
      <c r="F1221" s="4">
        <v>68271</v>
      </c>
      <c r="G1221" s="4">
        <v>994551</v>
      </c>
      <c r="H1221" s="2">
        <v>1861</v>
      </c>
      <c r="I1221" s="16">
        <v>1</v>
      </c>
      <c r="J1221" s="1">
        <v>45782</v>
      </c>
      <c r="K1221" s="3">
        <v>6.8599999999999994E-2</v>
      </c>
      <c r="L1221" s="13">
        <f t="shared" si="41"/>
        <v>1.8711961478094135</v>
      </c>
      <c r="M1221" s="16">
        <f t="shared" si="42"/>
        <v>68271</v>
      </c>
    </row>
    <row r="1222" spans="1:13" x14ac:dyDescent="0.3">
      <c r="A1222">
        <v>101220</v>
      </c>
      <c r="B1222" t="s">
        <v>18</v>
      </c>
      <c r="C1222" t="s">
        <v>23</v>
      </c>
      <c r="D1222" t="s">
        <v>15</v>
      </c>
      <c r="E1222" s="1">
        <v>45782</v>
      </c>
      <c r="F1222" s="4">
        <v>87944</v>
      </c>
      <c r="G1222" s="4">
        <v>440327</v>
      </c>
      <c r="H1222" s="2">
        <v>840</v>
      </c>
      <c r="I1222" s="16">
        <v>8</v>
      </c>
      <c r="J1222" s="1">
        <v>45790</v>
      </c>
      <c r="K1222" s="3">
        <v>0.19969999999999999</v>
      </c>
      <c r="L1222" s="13">
        <f t="shared" si="41"/>
        <v>1.907673161082559</v>
      </c>
      <c r="M1222" s="16">
        <f t="shared" si="42"/>
        <v>10993</v>
      </c>
    </row>
    <row r="1223" spans="1:13" x14ac:dyDescent="0.3">
      <c r="A1223">
        <v>101221</v>
      </c>
      <c r="B1223" t="s">
        <v>18</v>
      </c>
      <c r="C1223" t="s">
        <v>16</v>
      </c>
      <c r="D1223" t="s">
        <v>24</v>
      </c>
      <c r="E1223" s="1">
        <v>45783</v>
      </c>
      <c r="F1223" s="4">
        <v>33591</v>
      </c>
      <c r="G1223" s="4">
        <v>444187</v>
      </c>
      <c r="H1223" s="2">
        <v>4361</v>
      </c>
      <c r="I1223" s="16">
        <v>10</v>
      </c>
      <c r="J1223" s="1">
        <v>45793</v>
      </c>
      <c r="K1223" s="3">
        <v>7.5600000000000001E-2</v>
      </c>
      <c r="L1223" s="13">
        <f t="shared" si="41"/>
        <v>9.8179370400304382</v>
      </c>
      <c r="M1223" s="16">
        <f t="shared" si="42"/>
        <v>3359.1</v>
      </c>
    </row>
    <row r="1224" spans="1:13" x14ac:dyDescent="0.3">
      <c r="A1224">
        <v>101222</v>
      </c>
      <c r="B1224" t="s">
        <v>10</v>
      </c>
      <c r="C1224" t="s">
        <v>23</v>
      </c>
      <c r="D1224" t="s">
        <v>15</v>
      </c>
      <c r="E1224" s="1">
        <v>45784</v>
      </c>
      <c r="F1224" s="4">
        <v>42821</v>
      </c>
      <c r="G1224" s="4">
        <v>697796</v>
      </c>
      <c r="H1224" s="2">
        <v>2205</v>
      </c>
      <c r="I1224" s="16">
        <v>15</v>
      </c>
      <c r="J1224" s="1">
        <v>45799</v>
      </c>
      <c r="K1224" s="3">
        <v>6.1400000000000003E-2</v>
      </c>
      <c r="L1224" s="13">
        <f t="shared" si="41"/>
        <v>3.1599493261640941</v>
      </c>
      <c r="M1224" s="16">
        <f t="shared" si="42"/>
        <v>2854.7333333333331</v>
      </c>
    </row>
    <row r="1225" spans="1:13" x14ac:dyDescent="0.3">
      <c r="A1225">
        <v>101223</v>
      </c>
      <c r="B1225" t="s">
        <v>13</v>
      </c>
      <c r="C1225" t="s">
        <v>20</v>
      </c>
      <c r="D1225" t="s">
        <v>17</v>
      </c>
      <c r="E1225" s="1">
        <v>45785</v>
      </c>
      <c r="F1225" s="4">
        <v>68390</v>
      </c>
      <c r="G1225" s="4">
        <v>353235</v>
      </c>
      <c r="H1225" s="2">
        <v>2810</v>
      </c>
      <c r="I1225" s="16">
        <v>26</v>
      </c>
      <c r="J1225" s="1">
        <v>45811</v>
      </c>
      <c r="K1225" s="3">
        <v>0.19359999999999999</v>
      </c>
      <c r="L1225" s="13">
        <f t="shared" si="41"/>
        <v>7.9550440924596941</v>
      </c>
      <c r="M1225" s="16">
        <f t="shared" si="42"/>
        <v>2630.3846153846152</v>
      </c>
    </row>
    <row r="1226" spans="1:13" x14ac:dyDescent="0.3">
      <c r="A1226">
        <v>101224</v>
      </c>
      <c r="B1226" t="s">
        <v>18</v>
      </c>
      <c r="C1226" t="s">
        <v>11</v>
      </c>
      <c r="D1226" t="s">
        <v>15</v>
      </c>
      <c r="E1226" s="1">
        <v>45786</v>
      </c>
      <c r="F1226" s="4">
        <v>82568</v>
      </c>
      <c r="G1226" s="4">
        <v>968981</v>
      </c>
      <c r="H1226" s="2">
        <v>762</v>
      </c>
      <c r="I1226" s="16">
        <v>11</v>
      </c>
      <c r="J1226" s="1">
        <v>45797</v>
      </c>
      <c r="K1226" s="3">
        <v>8.5199999999999998E-2</v>
      </c>
      <c r="L1226" s="13">
        <f t="shared" si="41"/>
        <v>0.78639312845143505</v>
      </c>
      <c r="M1226" s="16">
        <f t="shared" si="42"/>
        <v>7506.181818181818</v>
      </c>
    </row>
    <row r="1227" spans="1:13" x14ac:dyDescent="0.3">
      <c r="A1227">
        <v>101225</v>
      </c>
      <c r="B1227" t="s">
        <v>10</v>
      </c>
      <c r="C1227" t="s">
        <v>21</v>
      </c>
      <c r="D1227" t="s">
        <v>12</v>
      </c>
      <c r="E1227" s="1">
        <v>45787</v>
      </c>
      <c r="F1227" s="4">
        <v>1815</v>
      </c>
      <c r="G1227" s="4">
        <v>26805</v>
      </c>
      <c r="H1227" s="2">
        <v>3322</v>
      </c>
      <c r="I1227" s="16">
        <v>9</v>
      </c>
      <c r="J1227" s="1">
        <v>45796</v>
      </c>
      <c r="K1227" s="3">
        <v>6.7699999999999996E-2</v>
      </c>
      <c r="L1227" s="13">
        <f t="shared" si="41"/>
        <v>123.93210221973513</v>
      </c>
      <c r="M1227" s="16">
        <f t="shared" si="42"/>
        <v>201.66666666666666</v>
      </c>
    </row>
    <row r="1228" spans="1:13" x14ac:dyDescent="0.3">
      <c r="A1228">
        <v>101226</v>
      </c>
      <c r="B1228" t="s">
        <v>13</v>
      </c>
      <c r="C1228" t="s">
        <v>20</v>
      </c>
      <c r="D1228" t="s">
        <v>24</v>
      </c>
      <c r="E1228" s="1">
        <v>45788</v>
      </c>
      <c r="F1228" s="4">
        <v>89013</v>
      </c>
      <c r="G1228" s="4">
        <v>756669</v>
      </c>
      <c r="H1228" s="2">
        <v>4663</v>
      </c>
      <c r="I1228" s="16">
        <v>24</v>
      </c>
      <c r="J1228" s="1">
        <v>45812</v>
      </c>
      <c r="K1228" s="3">
        <v>0.1176</v>
      </c>
      <c r="L1228" s="13">
        <f t="shared" si="41"/>
        <v>6.1625360626641239</v>
      </c>
      <c r="M1228" s="16">
        <f t="shared" si="42"/>
        <v>3708.875</v>
      </c>
    </row>
    <row r="1229" spans="1:13" x14ac:dyDescent="0.3">
      <c r="A1229">
        <v>101227</v>
      </c>
      <c r="B1229" t="s">
        <v>13</v>
      </c>
      <c r="C1229" t="s">
        <v>11</v>
      </c>
      <c r="D1229" t="s">
        <v>12</v>
      </c>
      <c r="E1229" s="1">
        <v>45789</v>
      </c>
      <c r="F1229" s="4">
        <v>67234</v>
      </c>
      <c r="G1229" s="4">
        <v>980117</v>
      </c>
      <c r="H1229" s="2">
        <v>808</v>
      </c>
      <c r="I1229" s="16">
        <v>17</v>
      </c>
      <c r="J1229" s="1">
        <v>45806</v>
      </c>
      <c r="K1229" s="3">
        <v>6.8599999999999994E-2</v>
      </c>
      <c r="L1229" s="13">
        <f t="shared" si="41"/>
        <v>0.8243913736829378</v>
      </c>
      <c r="M1229" s="16">
        <f t="shared" si="42"/>
        <v>3954.9411764705883</v>
      </c>
    </row>
    <row r="1230" spans="1:13" x14ac:dyDescent="0.3">
      <c r="A1230">
        <v>101228</v>
      </c>
      <c r="B1230" t="s">
        <v>19</v>
      </c>
      <c r="C1230" t="s">
        <v>11</v>
      </c>
      <c r="D1230" t="s">
        <v>22</v>
      </c>
      <c r="E1230" s="1">
        <v>45790</v>
      </c>
      <c r="F1230" s="4">
        <v>48352</v>
      </c>
      <c r="G1230" s="4">
        <v>418170</v>
      </c>
      <c r="H1230" s="2">
        <v>2573</v>
      </c>
      <c r="I1230" s="16">
        <v>5</v>
      </c>
      <c r="J1230" s="1">
        <v>45795</v>
      </c>
      <c r="K1230" s="3">
        <v>0.11559999999999999</v>
      </c>
      <c r="L1230" s="13">
        <f t="shared" si="41"/>
        <v>6.1529999760862806</v>
      </c>
      <c r="M1230" s="16">
        <f t="shared" si="42"/>
        <v>9670.4</v>
      </c>
    </row>
    <row r="1231" spans="1:13" x14ac:dyDescent="0.3">
      <c r="A1231">
        <v>101229</v>
      </c>
      <c r="B1231" t="s">
        <v>18</v>
      </c>
      <c r="C1231" t="s">
        <v>14</v>
      </c>
      <c r="D1231" t="s">
        <v>24</v>
      </c>
      <c r="E1231" s="1">
        <v>45791</v>
      </c>
      <c r="F1231" s="4">
        <v>75191</v>
      </c>
      <c r="G1231" s="4">
        <v>230427</v>
      </c>
      <c r="H1231" s="2">
        <v>4363</v>
      </c>
      <c r="I1231" s="16">
        <v>6</v>
      </c>
      <c r="J1231" s="1">
        <v>45797</v>
      </c>
      <c r="K1231" s="3">
        <v>0.32629999999999998</v>
      </c>
      <c r="L1231" s="13">
        <f t="shared" si="41"/>
        <v>18.934413067913049</v>
      </c>
      <c r="M1231" s="16">
        <f t="shared" si="42"/>
        <v>12531.833333333334</v>
      </c>
    </row>
    <row r="1232" spans="1:13" x14ac:dyDescent="0.3">
      <c r="A1232">
        <v>101230</v>
      </c>
      <c r="B1232" t="s">
        <v>18</v>
      </c>
      <c r="C1232" t="s">
        <v>25</v>
      </c>
      <c r="D1232" t="s">
        <v>22</v>
      </c>
      <c r="E1232" s="1">
        <v>45792</v>
      </c>
      <c r="F1232" s="4">
        <v>97362</v>
      </c>
      <c r="G1232" s="4">
        <v>412242</v>
      </c>
      <c r="H1232" s="2">
        <v>1321</v>
      </c>
      <c r="I1232" s="16">
        <v>12</v>
      </c>
      <c r="J1232" s="1">
        <v>45804</v>
      </c>
      <c r="K1232" s="3">
        <v>0.23619999999999999</v>
      </c>
      <c r="L1232" s="13">
        <f t="shared" si="41"/>
        <v>3.2044284667743703</v>
      </c>
      <c r="M1232" s="16">
        <f t="shared" si="42"/>
        <v>8113.5</v>
      </c>
    </row>
    <row r="1233" spans="1:13" x14ac:dyDescent="0.3">
      <c r="A1233">
        <v>101231</v>
      </c>
      <c r="B1233" t="s">
        <v>13</v>
      </c>
      <c r="C1233" t="s">
        <v>16</v>
      </c>
      <c r="D1233" t="s">
        <v>22</v>
      </c>
      <c r="E1233" s="1">
        <v>45793</v>
      </c>
      <c r="F1233" s="4">
        <v>77739</v>
      </c>
      <c r="G1233" s="4">
        <v>376720</v>
      </c>
      <c r="H1233" s="2">
        <v>2581</v>
      </c>
      <c r="I1233" s="16">
        <v>19</v>
      </c>
      <c r="J1233" s="1">
        <v>45812</v>
      </c>
      <c r="K1233" s="3">
        <v>0.2064</v>
      </c>
      <c r="L1233" s="13">
        <f t="shared" si="41"/>
        <v>6.851242301974942</v>
      </c>
      <c r="M1233" s="16">
        <f t="shared" si="42"/>
        <v>4091.5263157894738</v>
      </c>
    </row>
    <row r="1234" spans="1:13" x14ac:dyDescent="0.3">
      <c r="A1234">
        <v>101232</v>
      </c>
      <c r="B1234" t="s">
        <v>18</v>
      </c>
      <c r="C1234" t="s">
        <v>11</v>
      </c>
      <c r="D1234" t="s">
        <v>22</v>
      </c>
      <c r="E1234" s="1">
        <v>45794</v>
      </c>
      <c r="F1234" s="4">
        <v>79578</v>
      </c>
      <c r="G1234" s="4">
        <v>188479</v>
      </c>
      <c r="H1234" s="2">
        <v>786</v>
      </c>
      <c r="I1234" s="16">
        <v>14</v>
      </c>
      <c r="J1234" s="1">
        <v>45808</v>
      </c>
      <c r="K1234" s="3">
        <v>0.42220000000000002</v>
      </c>
      <c r="L1234" s="13">
        <f t="shared" si="41"/>
        <v>4.1702258607059672</v>
      </c>
      <c r="M1234" s="16">
        <f t="shared" si="42"/>
        <v>5684.1428571428569</v>
      </c>
    </row>
    <row r="1235" spans="1:13" x14ac:dyDescent="0.3">
      <c r="A1235">
        <v>101233</v>
      </c>
      <c r="B1235" t="s">
        <v>13</v>
      </c>
      <c r="C1235" t="s">
        <v>20</v>
      </c>
      <c r="D1235" t="s">
        <v>24</v>
      </c>
      <c r="E1235" s="1">
        <v>45795</v>
      </c>
      <c r="F1235" s="4">
        <v>75712</v>
      </c>
      <c r="G1235" s="4">
        <v>629072</v>
      </c>
      <c r="H1235" s="2">
        <v>2908</v>
      </c>
      <c r="I1235" s="16">
        <v>16</v>
      </c>
      <c r="J1235" s="1">
        <v>45811</v>
      </c>
      <c r="K1235" s="3">
        <v>0.12039999999999999</v>
      </c>
      <c r="L1235" s="13">
        <f t="shared" si="41"/>
        <v>4.6226823002772344</v>
      </c>
      <c r="M1235" s="16">
        <f t="shared" si="42"/>
        <v>4732</v>
      </c>
    </row>
    <row r="1236" spans="1:13" x14ac:dyDescent="0.3">
      <c r="A1236">
        <v>101234</v>
      </c>
      <c r="B1236" t="s">
        <v>18</v>
      </c>
      <c r="C1236" t="s">
        <v>20</v>
      </c>
      <c r="D1236" t="s">
        <v>12</v>
      </c>
      <c r="E1236" s="1">
        <v>45796</v>
      </c>
      <c r="F1236" s="4">
        <v>59499</v>
      </c>
      <c r="G1236" s="4">
        <v>145149</v>
      </c>
      <c r="H1236" s="2">
        <v>923</v>
      </c>
      <c r="I1236" s="16">
        <v>26</v>
      </c>
      <c r="J1236" s="1">
        <v>45822</v>
      </c>
      <c r="K1236" s="3">
        <v>0.40989999999999999</v>
      </c>
      <c r="L1236" s="13">
        <f t="shared" si="41"/>
        <v>6.3589828383247564</v>
      </c>
      <c r="M1236" s="16">
        <f t="shared" si="42"/>
        <v>2288.4230769230771</v>
      </c>
    </row>
    <row r="1237" spans="1:13" x14ac:dyDescent="0.3">
      <c r="A1237">
        <v>101235</v>
      </c>
      <c r="B1237" t="s">
        <v>18</v>
      </c>
      <c r="C1237" t="s">
        <v>23</v>
      </c>
      <c r="D1237" t="s">
        <v>24</v>
      </c>
      <c r="E1237" s="1">
        <v>45797</v>
      </c>
      <c r="F1237" s="4">
        <v>66404</v>
      </c>
      <c r="G1237" s="4">
        <v>307609</v>
      </c>
      <c r="H1237" s="2">
        <v>1875</v>
      </c>
      <c r="I1237" s="16">
        <v>19</v>
      </c>
      <c r="J1237" s="1">
        <v>45816</v>
      </c>
      <c r="K1237" s="3">
        <v>0.21590000000000001</v>
      </c>
      <c r="L1237" s="13">
        <f t="shared" si="41"/>
        <v>6.0954003296392498</v>
      </c>
      <c r="M1237" s="16">
        <f t="shared" si="42"/>
        <v>3494.9473684210525</v>
      </c>
    </row>
    <row r="1238" spans="1:13" x14ac:dyDescent="0.3">
      <c r="A1238">
        <v>101236</v>
      </c>
      <c r="B1238" t="s">
        <v>18</v>
      </c>
      <c r="C1238" t="s">
        <v>11</v>
      </c>
      <c r="D1238" t="s">
        <v>24</v>
      </c>
      <c r="E1238" s="1">
        <v>45798</v>
      </c>
      <c r="F1238" s="4">
        <v>61012</v>
      </c>
      <c r="G1238" s="4">
        <v>516309</v>
      </c>
      <c r="H1238" s="2">
        <v>2087</v>
      </c>
      <c r="I1238" s="16">
        <v>2</v>
      </c>
      <c r="J1238" s="1">
        <v>45800</v>
      </c>
      <c r="K1238" s="3">
        <v>0.1182</v>
      </c>
      <c r="L1238" s="13">
        <f t="shared" si="41"/>
        <v>4.0421530517577651</v>
      </c>
      <c r="M1238" s="16">
        <f t="shared" si="42"/>
        <v>30506</v>
      </c>
    </row>
    <row r="1239" spans="1:13" x14ac:dyDescent="0.3">
      <c r="A1239">
        <v>101237</v>
      </c>
      <c r="B1239" t="s">
        <v>13</v>
      </c>
      <c r="C1239" t="s">
        <v>14</v>
      </c>
      <c r="D1239" t="s">
        <v>12</v>
      </c>
      <c r="E1239" s="1">
        <v>45799</v>
      </c>
      <c r="F1239" s="4">
        <v>22399</v>
      </c>
      <c r="G1239" s="4">
        <v>708578</v>
      </c>
      <c r="H1239" s="2">
        <v>4578</v>
      </c>
      <c r="I1239" s="16">
        <v>18</v>
      </c>
      <c r="J1239" s="1">
        <v>45817</v>
      </c>
      <c r="K1239" s="3">
        <v>3.1600000000000003E-2</v>
      </c>
      <c r="L1239" s="13">
        <f t="shared" si="41"/>
        <v>6.4608271778124644</v>
      </c>
      <c r="M1239" s="16">
        <f t="shared" si="42"/>
        <v>1244.3888888888889</v>
      </c>
    </row>
    <row r="1240" spans="1:13" x14ac:dyDescent="0.3">
      <c r="A1240">
        <v>101238</v>
      </c>
      <c r="B1240" t="s">
        <v>18</v>
      </c>
      <c r="C1240" t="s">
        <v>14</v>
      </c>
      <c r="D1240" t="s">
        <v>17</v>
      </c>
      <c r="E1240" s="1">
        <v>45800</v>
      </c>
      <c r="F1240" s="4">
        <v>21660</v>
      </c>
      <c r="G1240" s="4">
        <v>315998</v>
      </c>
      <c r="H1240" s="2">
        <v>4766</v>
      </c>
      <c r="I1240" s="16">
        <v>23</v>
      </c>
      <c r="J1240" s="1">
        <v>45823</v>
      </c>
      <c r="K1240" s="3">
        <v>6.8500000000000005E-2</v>
      </c>
      <c r="L1240" s="13">
        <f t="shared" si="41"/>
        <v>15.082373939075563</v>
      </c>
      <c r="M1240" s="16">
        <f t="shared" si="42"/>
        <v>941.73913043478262</v>
      </c>
    </row>
    <row r="1241" spans="1:13" x14ac:dyDescent="0.3">
      <c r="A1241">
        <v>101239</v>
      </c>
      <c r="B1241" t="s">
        <v>18</v>
      </c>
      <c r="C1241" t="s">
        <v>16</v>
      </c>
      <c r="D1241" t="s">
        <v>22</v>
      </c>
      <c r="E1241" s="1">
        <v>45801</v>
      </c>
      <c r="F1241" s="4">
        <v>53404</v>
      </c>
      <c r="G1241" s="4">
        <v>112801</v>
      </c>
      <c r="H1241" s="2">
        <v>819</v>
      </c>
      <c r="I1241" s="16">
        <v>14</v>
      </c>
      <c r="J1241" s="1">
        <v>45815</v>
      </c>
      <c r="K1241" s="3">
        <v>0.47339999999999999</v>
      </c>
      <c r="L1241" s="13">
        <f t="shared" si="41"/>
        <v>7.2605739310821713</v>
      </c>
      <c r="M1241" s="16">
        <f t="shared" si="42"/>
        <v>3814.5714285714284</v>
      </c>
    </row>
    <row r="1242" spans="1:13" x14ac:dyDescent="0.3">
      <c r="A1242">
        <v>101240</v>
      </c>
      <c r="B1242" t="s">
        <v>10</v>
      </c>
      <c r="C1242" t="s">
        <v>16</v>
      </c>
      <c r="D1242" t="s">
        <v>17</v>
      </c>
      <c r="E1242" s="1">
        <v>45802</v>
      </c>
      <c r="F1242" s="4">
        <v>49846</v>
      </c>
      <c r="G1242" s="4">
        <v>250294</v>
      </c>
      <c r="H1242" s="2">
        <v>4925</v>
      </c>
      <c r="I1242" s="16">
        <v>28</v>
      </c>
      <c r="J1242" s="1">
        <v>45830</v>
      </c>
      <c r="K1242" s="3">
        <v>0.1991</v>
      </c>
      <c r="L1242" s="13">
        <f t="shared" si="41"/>
        <v>19.676860012625152</v>
      </c>
      <c r="M1242" s="16">
        <f t="shared" si="42"/>
        <v>1780.2142857142858</v>
      </c>
    </row>
    <row r="1243" spans="1:13" x14ac:dyDescent="0.3">
      <c r="A1243">
        <v>101241</v>
      </c>
      <c r="B1243" t="s">
        <v>18</v>
      </c>
      <c r="C1243" t="s">
        <v>20</v>
      </c>
      <c r="D1243" t="s">
        <v>22</v>
      </c>
      <c r="E1243" s="1">
        <v>45803</v>
      </c>
      <c r="F1243" s="4">
        <v>76223</v>
      </c>
      <c r="G1243" s="4">
        <v>538674</v>
      </c>
      <c r="H1243" s="2">
        <v>3734</v>
      </c>
      <c r="I1243" s="16">
        <v>22</v>
      </c>
      <c r="J1243" s="1">
        <v>45825</v>
      </c>
      <c r="K1243" s="3">
        <v>0.14149999999999999</v>
      </c>
      <c r="L1243" s="13">
        <f t="shared" si="41"/>
        <v>6.9318363240104404</v>
      </c>
      <c r="M1243" s="16">
        <f t="shared" si="42"/>
        <v>3464.681818181818</v>
      </c>
    </row>
    <row r="1244" spans="1:13" x14ac:dyDescent="0.3">
      <c r="A1244">
        <v>101242</v>
      </c>
      <c r="B1244" t="s">
        <v>18</v>
      </c>
      <c r="C1244" t="s">
        <v>21</v>
      </c>
      <c r="D1244" t="s">
        <v>17</v>
      </c>
      <c r="E1244" s="1">
        <v>45804</v>
      </c>
      <c r="F1244" s="4">
        <v>89526</v>
      </c>
      <c r="G1244" s="4">
        <v>850878</v>
      </c>
      <c r="H1244" s="2">
        <v>4017</v>
      </c>
      <c r="I1244" s="16">
        <v>19</v>
      </c>
      <c r="J1244" s="1">
        <v>45823</v>
      </c>
      <c r="K1244" s="3">
        <v>0.1052</v>
      </c>
      <c r="L1244" s="13">
        <f t="shared" si="41"/>
        <v>4.7210058316233345</v>
      </c>
      <c r="M1244" s="16">
        <f t="shared" si="42"/>
        <v>4711.894736842105</v>
      </c>
    </row>
    <row r="1245" spans="1:13" x14ac:dyDescent="0.3">
      <c r="A1245">
        <v>101243</v>
      </c>
      <c r="B1245" t="s">
        <v>18</v>
      </c>
      <c r="C1245" t="s">
        <v>25</v>
      </c>
      <c r="D1245" t="s">
        <v>12</v>
      </c>
      <c r="E1245" s="1">
        <v>45805</v>
      </c>
      <c r="F1245" s="4">
        <v>88985</v>
      </c>
      <c r="G1245" s="4">
        <v>597168</v>
      </c>
      <c r="H1245" s="2">
        <v>536</v>
      </c>
      <c r="I1245" s="16">
        <v>19</v>
      </c>
      <c r="J1245" s="1">
        <v>45824</v>
      </c>
      <c r="K1245" s="3">
        <v>0.14899999999999999</v>
      </c>
      <c r="L1245" s="13">
        <f t="shared" si="41"/>
        <v>0.89756986308710451</v>
      </c>
      <c r="M1245" s="16">
        <f t="shared" si="42"/>
        <v>4683.4210526315792</v>
      </c>
    </row>
    <row r="1246" spans="1:13" x14ac:dyDescent="0.3">
      <c r="A1246">
        <v>101244</v>
      </c>
      <c r="B1246" t="s">
        <v>18</v>
      </c>
      <c r="C1246" t="s">
        <v>16</v>
      </c>
      <c r="D1246" t="s">
        <v>17</v>
      </c>
      <c r="E1246" s="1">
        <v>45806</v>
      </c>
      <c r="F1246" s="4">
        <v>22365</v>
      </c>
      <c r="G1246" s="4">
        <v>659832</v>
      </c>
      <c r="H1246" s="2">
        <v>4880</v>
      </c>
      <c r="I1246" s="16">
        <v>27</v>
      </c>
      <c r="J1246" s="1">
        <v>45833</v>
      </c>
      <c r="K1246" s="3">
        <v>3.39E-2</v>
      </c>
      <c r="L1246" s="13">
        <f t="shared" si="41"/>
        <v>7.3958219668036715</v>
      </c>
      <c r="M1246" s="16">
        <f t="shared" si="42"/>
        <v>828.33333333333337</v>
      </c>
    </row>
    <row r="1247" spans="1:13" x14ac:dyDescent="0.3">
      <c r="A1247">
        <v>101245</v>
      </c>
      <c r="B1247" t="s">
        <v>18</v>
      </c>
      <c r="C1247" t="s">
        <v>14</v>
      </c>
      <c r="D1247" t="s">
        <v>12</v>
      </c>
      <c r="E1247" s="1">
        <v>45807</v>
      </c>
      <c r="F1247" s="4">
        <v>87043</v>
      </c>
      <c r="G1247" s="4">
        <v>383685</v>
      </c>
      <c r="H1247" s="2">
        <v>3430</v>
      </c>
      <c r="I1247" s="16">
        <v>6</v>
      </c>
      <c r="J1247" s="1">
        <v>45813</v>
      </c>
      <c r="K1247" s="3">
        <v>0.22689999999999999</v>
      </c>
      <c r="L1247" s="13">
        <f t="shared" si="41"/>
        <v>8.9396249527607274</v>
      </c>
      <c r="M1247" s="16">
        <f t="shared" si="42"/>
        <v>14507.166666666666</v>
      </c>
    </row>
    <row r="1248" spans="1:13" x14ac:dyDescent="0.3">
      <c r="A1248">
        <v>101246</v>
      </c>
      <c r="B1248" t="s">
        <v>13</v>
      </c>
      <c r="C1248" t="s">
        <v>11</v>
      </c>
      <c r="D1248" t="s">
        <v>12</v>
      </c>
      <c r="E1248" s="1">
        <v>45808</v>
      </c>
      <c r="F1248" s="4">
        <v>23300</v>
      </c>
      <c r="G1248" s="4">
        <v>952151</v>
      </c>
      <c r="H1248" s="2">
        <v>1849</v>
      </c>
      <c r="I1248" s="16">
        <v>28</v>
      </c>
      <c r="J1248" s="1">
        <v>45836</v>
      </c>
      <c r="K1248" s="3">
        <v>2.4500000000000001E-2</v>
      </c>
      <c r="L1248" s="13">
        <f t="shared" si="41"/>
        <v>1.9419188763126858</v>
      </c>
      <c r="M1248" s="16">
        <f t="shared" si="42"/>
        <v>832.14285714285711</v>
      </c>
    </row>
    <row r="1249" spans="1:13" x14ac:dyDescent="0.3">
      <c r="A1249">
        <v>101247</v>
      </c>
      <c r="B1249" t="s">
        <v>18</v>
      </c>
      <c r="C1249" t="s">
        <v>16</v>
      </c>
      <c r="D1249" t="s">
        <v>24</v>
      </c>
      <c r="E1249" s="1">
        <v>45809</v>
      </c>
      <c r="F1249" s="4">
        <v>96106</v>
      </c>
      <c r="G1249" s="4">
        <v>718366</v>
      </c>
      <c r="H1249" s="2">
        <v>2898</v>
      </c>
      <c r="I1249" s="16">
        <v>4</v>
      </c>
      <c r="J1249" s="1">
        <v>45813</v>
      </c>
      <c r="K1249" s="3">
        <v>0.1338</v>
      </c>
      <c r="L1249" s="13">
        <f t="shared" si="41"/>
        <v>4.0341552913138985</v>
      </c>
      <c r="M1249" s="16">
        <f t="shared" si="42"/>
        <v>24026.5</v>
      </c>
    </row>
    <row r="1250" spans="1:13" x14ac:dyDescent="0.3">
      <c r="A1250">
        <v>101248</v>
      </c>
      <c r="B1250" t="s">
        <v>10</v>
      </c>
      <c r="C1250" t="s">
        <v>11</v>
      </c>
      <c r="D1250" t="s">
        <v>12</v>
      </c>
      <c r="E1250" s="1">
        <v>45810</v>
      </c>
      <c r="F1250" s="4">
        <v>9842</v>
      </c>
      <c r="G1250" s="4">
        <v>735439</v>
      </c>
      <c r="H1250" s="2">
        <v>3037</v>
      </c>
      <c r="I1250" s="16">
        <v>13</v>
      </c>
      <c r="J1250" s="1">
        <v>45823</v>
      </c>
      <c r="K1250" s="3">
        <v>1.34E-2</v>
      </c>
      <c r="L1250" s="13">
        <f t="shared" si="41"/>
        <v>4.129506322074298</v>
      </c>
      <c r="M1250" s="16">
        <f t="shared" si="42"/>
        <v>757.07692307692309</v>
      </c>
    </row>
    <row r="1251" spans="1:13" x14ac:dyDescent="0.3">
      <c r="A1251">
        <v>101249</v>
      </c>
      <c r="B1251" t="s">
        <v>19</v>
      </c>
      <c r="C1251" t="s">
        <v>16</v>
      </c>
      <c r="D1251" t="s">
        <v>22</v>
      </c>
      <c r="E1251" s="1">
        <v>45811</v>
      </c>
      <c r="F1251" s="4">
        <v>32514</v>
      </c>
      <c r="G1251" s="4">
        <v>495407</v>
      </c>
      <c r="H1251" s="2">
        <v>999</v>
      </c>
      <c r="I1251" s="16">
        <v>29</v>
      </c>
      <c r="J1251" s="1">
        <v>45840</v>
      </c>
      <c r="K1251" s="3">
        <v>6.5600000000000006E-2</v>
      </c>
      <c r="L1251" s="13">
        <f t="shared" si="41"/>
        <v>2.0165237875120861</v>
      </c>
      <c r="M1251" s="16">
        <f t="shared" si="42"/>
        <v>1121.1724137931035</v>
      </c>
    </row>
    <row r="1252" spans="1:13" x14ac:dyDescent="0.3">
      <c r="A1252">
        <v>101250</v>
      </c>
      <c r="B1252" t="s">
        <v>18</v>
      </c>
      <c r="C1252" t="s">
        <v>25</v>
      </c>
      <c r="D1252" t="s">
        <v>22</v>
      </c>
      <c r="E1252" s="1">
        <v>45812</v>
      </c>
      <c r="F1252" s="4">
        <v>95984</v>
      </c>
      <c r="G1252" s="4">
        <v>103711</v>
      </c>
      <c r="H1252" s="2">
        <v>2130</v>
      </c>
      <c r="I1252" s="16">
        <v>29</v>
      </c>
      <c r="J1252" s="1">
        <v>45841</v>
      </c>
      <c r="K1252" s="3">
        <v>0.92549999999999999</v>
      </c>
      <c r="L1252" s="13">
        <f t="shared" si="41"/>
        <v>20.53784073049146</v>
      </c>
      <c r="M1252" s="16">
        <f t="shared" si="42"/>
        <v>3309.7931034482758</v>
      </c>
    </row>
    <row r="1253" spans="1:13" x14ac:dyDescent="0.3">
      <c r="A1253">
        <v>101251</v>
      </c>
      <c r="B1253" t="s">
        <v>18</v>
      </c>
      <c r="C1253" t="s">
        <v>21</v>
      </c>
      <c r="D1253" t="s">
        <v>12</v>
      </c>
      <c r="E1253" s="1">
        <v>45813</v>
      </c>
      <c r="F1253" s="4">
        <v>9266</v>
      </c>
      <c r="G1253" s="4">
        <v>398150</v>
      </c>
      <c r="H1253" s="2">
        <v>826</v>
      </c>
      <c r="I1253" s="16">
        <v>3</v>
      </c>
      <c r="J1253" s="1">
        <v>45816</v>
      </c>
      <c r="K1253" s="3">
        <v>2.3300000000000001E-2</v>
      </c>
      <c r="L1253" s="13">
        <f t="shared" si="41"/>
        <v>2.0745950018837123</v>
      </c>
      <c r="M1253" s="16">
        <f t="shared" si="42"/>
        <v>3088.6666666666665</v>
      </c>
    </row>
    <row r="1254" spans="1:13" x14ac:dyDescent="0.3">
      <c r="A1254">
        <v>101252</v>
      </c>
      <c r="B1254" t="s">
        <v>18</v>
      </c>
      <c r="C1254" t="s">
        <v>25</v>
      </c>
      <c r="D1254" t="s">
        <v>22</v>
      </c>
      <c r="E1254" s="1">
        <v>45814</v>
      </c>
      <c r="F1254" s="4">
        <v>28869</v>
      </c>
      <c r="G1254" s="4">
        <v>378298</v>
      </c>
      <c r="H1254" s="2">
        <v>4019</v>
      </c>
      <c r="I1254" s="16">
        <v>8</v>
      </c>
      <c r="J1254" s="1">
        <v>45822</v>
      </c>
      <c r="K1254" s="3">
        <v>7.6300000000000007E-2</v>
      </c>
      <c r="L1254" s="13">
        <f t="shared" si="41"/>
        <v>10.623899676974238</v>
      </c>
      <c r="M1254" s="16">
        <f t="shared" si="42"/>
        <v>3608.625</v>
      </c>
    </row>
    <row r="1255" spans="1:13" x14ac:dyDescent="0.3">
      <c r="A1255">
        <v>101253</v>
      </c>
      <c r="B1255" t="s">
        <v>13</v>
      </c>
      <c r="C1255" t="s">
        <v>20</v>
      </c>
      <c r="D1255" t="s">
        <v>17</v>
      </c>
      <c r="E1255" s="1">
        <v>45815</v>
      </c>
      <c r="F1255" s="4">
        <v>97791</v>
      </c>
      <c r="G1255" s="4">
        <v>902005</v>
      </c>
      <c r="H1255" s="2">
        <v>470</v>
      </c>
      <c r="I1255" s="16">
        <v>7</v>
      </c>
      <c r="J1255" s="1">
        <v>45822</v>
      </c>
      <c r="K1255" s="3">
        <v>0.1084</v>
      </c>
      <c r="L1255" s="13">
        <f t="shared" si="41"/>
        <v>0.52106141318507104</v>
      </c>
      <c r="M1255" s="16">
        <f t="shared" si="42"/>
        <v>13970.142857142857</v>
      </c>
    </row>
    <row r="1256" spans="1:13" x14ac:dyDescent="0.3">
      <c r="A1256">
        <v>101254</v>
      </c>
      <c r="B1256" t="s">
        <v>18</v>
      </c>
      <c r="C1256" t="s">
        <v>25</v>
      </c>
      <c r="D1256" t="s">
        <v>22</v>
      </c>
      <c r="E1256" s="1">
        <v>45816</v>
      </c>
      <c r="F1256" s="4">
        <v>22477</v>
      </c>
      <c r="G1256" s="4">
        <v>958888</v>
      </c>
      <c r="H1256" s="2">
        <v>237</v>
      </c>
      <c r="I1256" s="16">
        <v>18</v>
      </c>
      <c r="J1256" s="1">
        <v>45834</v>
      </c>
      <c r="K1256" s="3">
        <v>2.3400000000000001E-2</v>
      </c>
      <c r="L1256" s="13">
        <f t="shared" si="41"/>
        <v>0.24716129516690163</v>
      </c>
      <c r="M1256" s="16">
        <f t="shared" si="42"/>
        <v>1248.7222222222222</v>
      </c>
    </row>
    <row r="1257" spans="1:13" x14ac:dyDescent="0.3">
      <c r="A1257">
        <v>101255</v>
      </c>
      <c r="B1257" t="s">
        <v>10</v>
      </c>
      <c r="C1257" t="s">
        <v>14</v>
      </c>
      <c r="D1257" t="s">
        <v>24</v>
      </c>
      <c r="E1257" s="1">
        <v>45817</v>
      </c>
      <c r="F1257" s="4">
        <v>89618</v>
      </c>
      <c r="G1257" s="4">
        <v>699071</v>
      </c>
      <c r="H1257" s="2">
        <v>4341</v>
      </c>
      <c r="I1257" s="16">
        <v>25</v>
      </c>
      <c r="J1257" s="1">
        <v>45842</v>
      </c>
      <c r="K1257" s="3">
        <v>0.12820000000000001</v>
      </c>
      <c r="L1257" s="13">
        <f t="shared" si="41"/>
        <v>6.2096696902031416</v>
      </c>
      <c r="M1257" s="16">
        <f t="shared" si="42"/>
        <v>3584.72</v>
      </c>
    </row>
    <row r="1258" spans="1:13" x14ac:dyDescent="0.3">
      <c r="A1258">
        <v>101256</v>
      </c>
      <c r="B1258" t="s">
        <v>10</v>
      </c>
      <c r="C1258" t="s">
        <v>20</v>
      </c>
      <c r="D1258" t="s">
        <v>22</v>
      </c>
      <c r="E1258" s="1">
        <v>45818</v>
      </c>
      <c r="F1258" s="4">
        <v>68945</v>
      </c>
      <c r="G1258" s="4">
        <v>185904</v>
      </c>
      <c r="H1258" s="2">
        <v>2286</v>
      </c>
      <c r="I1258" s="16">
        <v>13</v>
      </c>
      <c r="J1258" s="1">
        <v>45831</v>
      </c>
      <c r="K1258" s="3">
        <v>0.37090000000000001</v>
      </c>
      <c r="L1258" s="13">
        <f t="shared" si="41"/>
        <v>12.296669248644463</v>
      </c>
      <c r="M1258" s="16">
        <f t="shared" si="42"/>
        <v>5303.4615384615381</v>
      </c>
    </row>
    <row r="1259" spans="1:13" x14ac:dyDescent="0.3">
      <c r="A1259">
        <v>101257</v>
      </c>
      <c r="B1259" t="s">
        <v>10</v>
      </c>
      <c r="C1259" t="s">
        <v>25</v>
      </c>
      <c r="D1259" t="s">
        <v>12</v>
      </c>
      <c r="E1259" s="1">
        <v>45819</v>
      </c>
      <c r="F1259" s="4">
        <v>10362</v>
      </c>
      <c r="G1259" s="4">
        <v>610386</v>
      </c>
      <c r="H1259" s="2">
        <v>2207</v>
      </c>
      <c r="I1259" s="16">
        <v>14</v>
      </c>
      <c r="J1259" s="1">
        <v>45833</v>
      </c>
      <c r="K1259" s="3">
        <v>1.7000000000000001E-2</v>
      </c>
      <c r="L1259" s="13">
        <f t="shared" si="41"/>
        <v>3.615744791001104</v>
      </c>
      <c r="M1259" s="16">
        <f t="shared" si="42"/>
        <v>740.14285714285711</v>
      </c>
    </row>
    <row r="1260" spans="1:13" x14ac:dyDescent="0.3">
      <c r="A1260">
        <v>101258</v>
      </c>
      <c r="B1260" t="s">
        <v>13</v>
      </c>
      <c r="C1260" t="s">
        <v>25</v>
      </c>
      <c r="D1260" t="s">
        <v>15</v>
      </c>
      <c r="E1260" s="1">
        <v>45820</v>
      </c>
      <c r="F1260" s="4">
        <v>94147</v>
      </c>
      <c r="G1260" s="4">
        <v>151405</v>
      </c>
      <c r="H1260" s="2">
        <v>335</v>
      </c>
      <c r="I1260" s="16">
        <v>9</v>
      </c>
      <c r="J1260" s="1">
        <v>45829</v>
      </c>
      <c r="K1260" s="3">
        <v>0.62180000000000002</v>
      </c>
      <c r="L1260" s="13">
        <f t="shared" si="41"/>
        <v>2.212608566427793</v>
      </c>
      <c r="M1260" s="16">
        <f t="shared" si="42"/>
        <v>10460.777777777777</v>
      </c>
    </row>
    <row r="1261" spans="1:13" x14ac:dyDescent="0.3">
      <c r="A1261">
        <v>101259</v>
      </c>
      <c r="B1261" t="s">
        <v>19</v>
      </c>
      <c r="C1261" t="s">
        <v>11</v>
      </c>
      <c r="D1261" t="s">
        <v>24</v>
      </c>
      <c r="E1261" s="1">
        <v>45821</v>
      </c>
      <c r="F1261" s="4">
        <v>71168</v>
      </c>
      <c r="G1261" s="4">
        <v>766452</v>
      </c>
      <c r="H1261" s="2">
        <v>3304</v>
      </c>
      <c r="I1261" s="16">
        <v>20</v>
      </c>
      <c r="J1261" s="1">
        <v>45841</v>
      </c>
      <c r="K1261" s="3">
        <v>9.2899999999999996E-2</v>
      </c>
      <c r="L1261" s="13">
        <f t="shared" si="41"/>
        <v>4.3107722336167171</v>
      </c>
      <c r="M1261" s="16">
        <f t="shared" si="42"/>
        <v>3558.4</v>
      </c>
    </row>
    <row r="1262" spans="1:13" x14ac:dyDescent="0.3">
      <c r="A1262">
        <v>101260</v>
      </c>
      <c r="B1262" t="s">
        <v>18</v>
      </c>
      <c r="C1262" t="s">
        <v>21</v>
      </c>
      <c r="D1262" t="s">
        <v>12</v>
      </c>
      <c r="E1262" s="1">
        <v>45822</v>
      </c>
      <c r="F1262" s="4">
        <v>6248</v>
      </c>
      <c r="G1262" s="4">
        <v>305518</v>
      </c>
      <c r="H1262" s="2">
        <v>4688</v>
      </c>
      <c r="I1262" s="16">
        <v>14</v>
      </c>
      <c r="J1262" s="1">
        <v>45836</v>
      </c>
      <c r="K1262" s="3">
        <v>2.0500000000000001E-2</v>
      </c>
      <c r="L1262" s="13">
        <f t="shared" si="41"/>
        <v>15.344431424662377</v>
      </c>
      <c r="M1262" s="16">
        <f t="shared" si="42"/>
        <v>446.28571428571428</v>
      </c>
    </row>
    <row r="1263" spans="1:13" x14ac:dyDescent="0.3">
      <c r="A1263">
        <v>101261</v>
      </c>
      <c r="B1263" t="s">
        <v>13</v>
      </c>
      <c r="C1263" t="s">
        <v>16</v>
      </c>
      <c r="D1263" t="s">
        <v>15</v>
      </c>
      <c r="E1263" s="1">
        <v>45823</v>
      </c>
      <c r="F1263" s="4">
        <v>93199</v>
      </c>
      <c r="G1263" s="4">
        <v>95444</v>
      </c>
      <c r="H1263" s="2">
        <v>4981</v>
      </c>
      <c r="I1263" s="16">
        <v>11</v>
      </c>
      <c r="J1263" s="1">
        <v>45834</v>
      </c>
      <c r="K1263" s="3">
        <v>0.97650000000000003</v>
      </c>
      <c r="L1263" s="13">
        <f t="shared" si="41"/>
        <v>52.187670256904575</v>
      </c>
      <c r="M1263" s="16">
        <f t="shared" si="42"/>
        <v>8472.636363636364</v>
      </c>
    </row>
    <row r="1264" spans="1:13" x14ac:dyDescent="0.3">
      <c r="A1264">
        <v>101262</v>
      </c>
      <c r="B1264" t="s">
        <v>18</v>
      </c>
      <c r="C1264" t="s">
        <v>11</v>
      </c>
      <c r="D1264" t="s">
        <v>24</v>
      </c>
      <c r="E1264" s="1">
        <v>45824</v>
      </c>
      <c r="F1264" s="4">
        <v>24029</v>
      </c>
      <c r="G1264" s="4">
        <v>923501</v>
      </c>
      <c r="H1264" s="2">
        <v>4381</v>
      </c>
      <c r="I1264" s="16">
        <v>24</v>
      </c>
      <c r="J1264" s="1">
        <v>45848</v>
      </c>
      <c r="K1264" s="3">
        <v>2.5999999999999999E-2</v>
      </c>
      <c r="L1264" s="13">
        <f t="shared" si="41"/>
        <v>4.7439039048143972</v>
      </c>
      <c r="M1264" s="16">
        <f t="shared" si="42"/>
        <v>1001.2083333333334</v>
      </c>
    </row>
    <row r="1265" spans="1:13" x14ac:dyDescent="0.3">
      <c r="A1265">
        <v>101263</v>
      </c>
      <c r="B1265" t="s">
        <v>19</v>
      </c>
      <c r="C1265" t="s">
        <v>16</v>
      </c>
      <c r="D1265" t="s">
        <v>24</v>
      </c>
      <c r="E1265" s="1">
        <v>45825</v>
      </c>
      <c r="F1265" s="4">
        <v>45029</v>
      </c>
      <c r="G1265" s="4">
        <v>402172</v>
      </c>
      <c r="H1265" s="2">
        <v>3107</v>
      </c>
      <c r="I1265" s="16">
        <v>27</v>
      </c>
      <c r="J1265" s="1">
        <v>45852</v>
      </c>
      <c r="K1265" s="3">
        <v>0.112</v>
      </c>
      <c r="L1265" s="13">
        <f t="shared" si="41"/>
        <v>7.7255502620769221</v>
      </c>
      <c r="M1265" s="16">
        <f t="shared" si="42"/>
        <v>1667.7407407407406</v>
      </c>
    </row>
    <row r="1266" spans="1:13" x14ac:dyDescent="0.3">
      <c r="A1266">
        <v>101264</v>
      </c>
      <c r="B1266" t="s">
        <v>13</v>
      </c>
      <c r="C1266" t="s">
        <v>16</v>
      </c>
      <c r="D1266" t="s">
        <v>24</v>
      </c>
      <c r="E1266" s="1">
        <v>45826</v>
      </c>
      <c r="F1266" s="4">
        <v>73840</v>
      </c>
      <c r="G1266" s="4">
        <v>71437</v>
      </c>
      <c r="H1266" s="2">
        <v>299</v>
      </c>
      <c r="I1266" s="16">
        <v>8</v>
      </c>
      <c r="J1266" s="1">
        <v>45834</v>
      </c>
      <c r="K1266" s="3">
        <v>1.0336000000000001</v>
      </c>
      <c r="L1266" s="13">
        <f t="shared" si="41"/>
        <v>4.185506110278987</v>
      </c>
      <c r="M1266" s="16">
        <f t="shared" si="42"/>
        <v>9230</v>
      </c>
    </row>
    <row r="1267" spans="1:13" x14ac:dyDescent="0.3">
      <c r="A1267">
        <v>101265</v>
      </c>
      <c r="B1267" t="s">
        <v>10</v>
      </c>
      <c r="C1267" t="s">
        <v>14</v>
      </c>
      <c r="D1267" t="s">
        <v>24</v>
      </c>
      <c r="E1267" s="1">
        <v>45827</v>
      </c>
      <c r="F1267" s="4">
        <v>47966</v>
      </c>
      <c r="G1267" s="4">
        <v>577434</v>
      </c>
      <c r="H1267" s="2">
        <v>3863</v>
      </c>
      <c r="I1267" s="16">
        <v>13</v>
      </c>
      <c r="J1267" s="1">
        <v>45840</v>
      </c>
      <c r="K1267" s="3">
        <v>8.3099999999999993E-2</v>
      </c>
      <c r="L1267" s="13">
        <f t="shared" si="41"/>
        <v>6.6899420539836587</v>
      </c>
      <c r="M1267" s="16">
        <f t="shared" si="42"/>
        <v>3689.6923076923076</v>
      </c>
    </row>
    <row r="1268" spans="1:13" x14ac:dyDescent="0.3">
      <c r="A1268">
        <v>101266</v>
      </c>
      <c r="B1268" t="s">
        <v>18</v>
      </c>
      <c r="C1268" t="s">
        <v>11</v>
      </c>
      <c r="D1268" t="s">
        <v>22</v>
      </c>
      <c r="E1268" s="1">
        <v>45828</v>
      </c>
      <c r="F1268" s="4">
        <v>5046</v>
      </c>
      <c r="G1268" s="4">
        <v>24307</v>
      </c>
      <c r="H1268" s="2">
        <v>2387</v>
      </c>
      <c r="I1268" s="16">
        <v>16</v>
      </c>
      <c r="J1268" s="1">
        <v>45844</v>
      </c>
      <c r="K1268" s="3">
        <v>0.20760000000000001</v>
      </c>
      <c r="L1268" s="13">
        <f t="shared" si="41"/>
        <v>98.202163985683143</v>
      </c>
      <c r="M1268" s="16">
        <f t="shared" si="42"/>
        <v>315.375</v>
      </c>
    </row>
    <row r="1269" spans="1:13" x14ac:dyDescent="0.3">
      <c r="A1269">
        <v>101267</v>
      </c>
      <c r="B1269" t="s">
        <v>19</v>
      </c>
      <c r="C1269" t="s">
        <v>16</v>
      </c>
      <c r="D1269" t="s">
        <v>24</v>
      </c>
      <c r="E1269" s="1">
        <v>45829</v>
      </c>
      <c r="F1269" s="4">
        <v>29879</v>
      </c>
      <c r="G1269" s="4">
        <v>933658</v>
      </c>
      <c r="H1269" s="2">
        <v>1403</v>
      </c>
      <c r="I1269" s="16">
        <v>20</v>
      </c>
      <c r="J1269" s="1">
        <v>45849</v>
      </c>
      <c r="K1269" s="3">
        <v>3.2000000000000001E-2</v>
      </c>
      <c r="L1269" s="13">
        <f t="shared" si="41"/>
        <v>1.5026915637203346</v>
      </c>
      <c r="M1269" s="16">
        <f t="shared" si="42"/>
        <v>1493.95</v>
      </c>
    </row>
    <row r="1270" spans="1:13" x14ac:dyDescent="0.3">
      <c r="A1270">
        <v>101268</v>
      </c>
      <c r="B1270" t="s">
        <v>13</v>
      </c>
      <c r="C1270" t="s">
        <v>11</v>
      </c>
      <c r="D1270" t="s">
        <v>24</v>
      </c>
      <c r="E1270" s="1">
        <v>45830</v>
      </c>
      <c r="F1270" s="4">
        <v>30463</v>
      </c>
      <c r="G1270" s="4">
        <v>462402</v>
      </c>
      <c r="H1270" s="2">
        <v>1609</v>
      </c>
      <c r="I1270" s="16">
        <v>5</v>
      </c>
      <c r="J1270" s="1">
        <v>45835</v>
      </c>
      <c r="K1270" s="3">
        <v>6.59E-2</v>
      </c>
      <c r="L1270" s="13">
        <f t="shared" si="41"/>
        <v>3.4796562298605975</v>
      </c>
      <c r="M1270" s="16">
        <f t="shared" si="42"/>
        <v>6092.6</v>
      </c>
    </row>
    <row r="1271" spans="1:13" x14ac:dyDescent="0.3">
      <c r="A1271">
        <v>101269</v>
      </c>
      <c r="B1271" t="s">
        <v>13</v>
      </c>
      <c r="C1271" t="s">
        <v>14</v>
      </c>
      <c r="D1271" t="s">
        <v>12</v>
      </c>
      <c r="E1271" s="1">
        <v>45831</v>
      </c>
      <c r="F1271" s="4">
        <v>98506</v>
      </c>
      <c r="G1271" s="4">
        <v>479080</v>
      </c>
      <c r="H1271" s="2">
        <v>791</v>
      </c>
      <c r="I1271" s="16">
        <v>21</v>
      </c>
      <c r="J1271" s="1">
        <v>45852</v>
      </c>
      <c r="K1271" s="3">
        <v>0.2056</v>
      </c>
      <c r="L1271" s="13">
        <f t="shared" si="41"/>
        <v>1.6510812390414962</v>
      </c>
      <c r="M1271" s="16">
        <f t="shared" si="42"/>
        <v>4690.7619047619046</v>
      </c>
    </row>
    <row r="1272" spans="1:13" x14ac:dyDescent="0.3">
      <c r="A1272">
        <v>101270</v>
      </c>
      <c r="B1272" t="s">
        <v>19</v>
      </c>
      <c r="C1272" t="s">
        <v>20</v>
      </c>
      <c r="D1272" t="s">
        <v>24</v>
      </c>
      <c r="E1272" s="1">
        <v>45832</v>
      </c>
      <c r="F1272" s="4">
        <v>45121</v>
      </c>
      <c r="G1272" s="4">
        <v>200428</v>
      </c>
      <c r="H1272" s="2">
        <v>3321</v>
      </c>
      <c r="I1272" s="16">
        <v>1</v>
      </c>
      <c r="J1272" s="1">
        <v>45833</v>
      </c>
      <c r="K1272" s="3">
        <v>0.22509999999999999</v>
      </c>
      <c r="L1272" s="13">
        <f t="shared" si="41"/>
        <v>16.569541181870797</v>
      </c>
      <c r="M1272" s="16">
        <f t="shared" si="42"/>
        <v>45121</v>
      </c>
    </row>
    <row r="1273" spans="1:13" x14ac:dyDescent="0.3">
      <c r="A1273">
        <v>101271</v>
      </c>
      <c r="B1273" t="s">
        <v>18</v>
      </c>
      <c r="C1273" t="s">
        <v>23</v>
      </c>
      <c r="D1273" t="s">
        <v>12</v>
      </c>
      <c r="E1273" s="1">
        <v>45833</v>
      </c>
      <c r="F1273" s="4">
        <v>59106</v>
      </c>
      <c r="G1273" s="4">
        <v>476114</v>
      </c>
      <c r="H1273" s="2">
        <v>1649</v>
      </c>
      <c r="I1273" s="16">
        <v>29</v>
      </c>
      <c r="J1273" s="1">
        <v>45862</v>
      </c>
      <c r="K1273" s="3">
        <v>0.1241</v>
      </c>
      <c r="L1273" s="13">
        <f t="shared" si="41"/>
        <v>3.46345623107071</v>
      </c>
      <c r="M1273" s="16">
        <f t="shared" si="42"/>
        <v>2038.1379310344828</v>
      </c>
    </row>
    <row r="1274" spans="1:13" x14ac:dyDescent="0.3">
      <c r="A1274">
        <v>101272</v>
      </c>
      <c r="B1274" t="s">
        <v>18</v>
      </c>
      <c r="C1274" t="s">
        <v>11</v>
      </c>
      <c r="D1274" t="s">
        <v>22</v>
      </c>
      <c r="E1274" s="1">
        <v>45834</v>
      </c>
      <c r="F1274" s="4">
        <v>55549</v>
      </c>
      <c r="G1274" s="4">
        <v>722688</v>
      </c>
      <c r="H1274" s="2">
        <v>716</v>
      </c>
      <c r="I1274" s="16">
        <v>28</v>
      </c>
      <c r="J1274" s="1">
        <v>45862</v>
      </c>
      <c r="K1274" s="3">
        <v>7.6899999999999996E-2</v>
      </c>
      <c r="L1274" s="13">
        <f t="shared" si="41"/>
        <v>0.99074566064470426</v>
      </c>
      <c r="M1274" s="16">
        <f t="shared" si="42"/>
        <v>1983.8928571428571</v>
      </c>
    </row>
    <row r="1275" spans="1:13" x14ac:dyDescent="0.3">
      <c r="A1275">
        <v>101273</v>
      </c>
      <c r="B1275" t="s">
        <v>13</v>
      </c>
      <c r="C1275" t="s">
        <v>14</v>
      </c>
      <c r="D1275" t="s">
        <v>12</v>
      </c>
      <c r="E1275" s="1">
        <v>45835</v>
      </c>
      <c r="F1275" s="4">
        <v>56344</v>
      </c>
      <c r="G1275" s="4">
        <v>848571</v>
      </c>
      <c r="H1275" s="2">
        <v>2547</v>
      </c>
      <c r="I1275" s="16">
        <v>7</v>
      </c>
      <c r="J1275" s="1">
        <v>45842</v>
      </c>
      <c r="K1275" s="3">
        <v>6.6400000000000001E-2</v>
      </c>
      <c r="L1275" s="13">
        <f t="shared" si="41"/>
        <v>3.0015166674326603</v>
      </c>
      <c r="M1275" s="16">
        <f t="shared" si="42"/>
        <v>8049.1428571428569</v>
      </c>
    </row>
    <row r="1276" spans="1:13" x14ac:dyDescent="0.3">
      <c r="A1276">
        <v>101274</v>
      </c>
      <c r="B1276" t="s">
        <v>18</v>
      </c>
      <c r="C1276" t="s">
        <v>14</v>
      </c>
      <c r="D1276" t="s">
        <v>24</v>
      </c>
      <c r="E1276" s="1">
        <v>45836</v>
      </c>
      <c r="F1276" s="4">
        <v>14239</v>
      </c>
      <c r="G1276" s="4">
        <v>418132</v>
      </c>
      <c r="H1276" s="2">
        <v>391</v>
      </c>
      <c r="I1276" s="16">
        <v>3</v>
      </c>
      <c r="J1276" s="1">
        <v>45839</v>
      </c>
      <c r="K1276" s="3">
        <v>3.4099999999999998E-2</v>
      </c>
      <c r="L1276" s="13">
        <f t="shared" si="41"/>
        <v>0.93511140022767936</v>
      </c>
      <c r="M1276" s="16">
        <f t="shared" si="42"/>
        <v>4746.333333333333</v>
      </c>
    </row>
    <row r="1277" spans="1:13" x14ac:dyDescent="0.3">
      <c r="A1277">
        <v>101275</v>
      </c>
      <c r="B1277" t="s">
        <v>18</v>
      </c>
      <c r="C1277" t="s">
        <v>21</v>
      </c>
      <c r="D1277" t="s">
        <v>24</v>
      </c>
      <c r="E1277" s="1">
        <v>45837</v>
      </c>
      <c r="F1277" s="4">
        <v>4388</v>
      </c>
      <c r="G1277" s="4">
        <v>752038</v>
      </c>
      <c r="H1277" s="2">
        <v>1363</v>
      </c>
      <c r="I1277" s="16">
        <v>18</v>
      </c>
      <c r="J1277" s="1">
        <v>45855</v>
      </c>
      <c r="K1277" s="3">
        <v>5.7999999999999996E-3</v>
      </c>
      <c r="L1277" s="13">
        <f t="shared" si="41"/>
        <v>1.8124084155321938</v>
      </c>
      <c r="M1277" s="16">
        <f t="shared" si="42"/>
        <v>243.77777777777777</v>
      </c>
    </row>
    <row r="1278" spans="1:13" x14ac:dyDescent="0.3">
      <c r="A1278">
        <v>101276</v>
      </c>
      <c r="B1278" t="s">
        <v>18</v>
      </c>
      <c r="C1278" t="s">
        <v>20</v>
      </c>
      <c r="D1278" t="s">
        <v>17</v>
      </c>
      <c r="E1278" s="1">
        <v>45838</v>
      </c>
      <c r="F1278" s="4">
        <v>38147</v>
      </c>
      <c r="G1278" s="4">
        <v>994431</v>
      </c>
      <c r="H1278" s="2">
        <v>2880</v>
      </c>
      <c r="I1278" s="16">
        <v>17</v>
      </c>
      <c r="J1278" s="1">
        <v>45855</v>
      </c>
      <c r="K1278" s="3">
        <v>3.8399999999999997E-2</v>
      </c>
      <c r="L1278" s="13">
        <f t="shared" si="41"/>
        <v>2.8961285398383598</v>
      </c>
      <c r="M1278" s="16">
        <f t="shared" si="42"/>
        <v>2243.9411764705883</v>
      </c>
    </row>
    <row r="1279" spans="1:13" x14ac:dyDescent="0.3">
      <c r="A1279">
        <v>101277</v>
      </c>
      <c r="B1279" t="s">
        <v>18</v>
      </c>
      <c r="C1279" t="s">
        <v>16</v>
      </c>
      <c r="D1279" t="s">
        <v>24</v>
      </c>
      <c r="E1279" s="1">
        <v>45839</v>
      </c>
      <c r="F1279" s="4">
        <v>9448</v>
      </c>
      <c r="G1279" s="4">
        <v>439484</v>
      </c>
      <c r="H1279" s="2">
        <v>1655</v>
      </c>
      <c r="I1279" s="16">
        <v>23</v>
      </c>
      <c r="J1279" s="1">
        <v>45862</v>
      </c>
      <c r="K1279" s="3">
        <v>2.1499999999999998E-2</v>
      </c>
      <c r="L1279" s="13">
        <f t="shared" si="41"/>
        <v>3.7657798691192399</v>
      </c>
      <c r="M1279" s="16">
        <f t="shared" si="42"/>
        <v>410.78260869565219</v>
      </c>
    </row>
    <row r="1280" spans="1:13" x14ac:dyDescent="0.3">
      <c r="A1280">
        <v>101278</v>
      </c>
      <c r="B1280" t="s">
        <v>10</v>
      </c>
      <c r="C1280" t="s">
        <v>25</v>
      </c>
      <c r="D1280" t="s">
        <v>22</v>
      </c>
      <c r="E1280" s="1">
        <v>45840</v>
      </c>
      <c r="F1280" s="4">
        <v>91896</v>
      </c>
      <c r="G1280" s="4">
        <v>268080</v>
      </c>
      <c r="H1280" s="2">
        <v>1435</v>
      </c>
      <c r="I1280" s="16">
        <v>19</v>
      </c>
      <c r="J1280" s="1">
        <v>45859</v>
      </c>
      <c r="K1280" s="3">
        <v>0.34279999999999999</v>
      </c>
      <c r="L1280" s="13">
        <f t="shared" si="41"/>
        <v>5.3528797373918238</v>
      </c>
      <c r="M1280" s="16">
        <f t="shared" si="42"/>
        <v>4836.6315789473683</v>
      </c>
    </row>
    <row r="1281" spans="1:13" x14ac:dyDescent="0.3">
      <c r="A1281">
        <v>101279</v>
      </c>
      <c r="B1281" t="s">
        <v>13</v>
      </c>
      <c r="C1281" t="s">
        <v>11</v>
      </c>
      <c r="D1281" t="s">
        <v>22</v>
      </c>
      <c r="E1281" s="1">
        <v>45841</v>
      </c>
      <c r="F1281" s="4">
        <v>17504</v>
      </c>
      <c r="G1281" s="4">
        <v>381785</v>
      </c>
      <c r="H1281" s="2">
        <v>3653</v>
      </c>
      <c r="I1281" s="16">
        <v>1</v>
      </c>
      <c r="J1281" s="1">
        <v>45842</v>
      </c>
      <c r="K1281" s="3">
        <v>4.58E-2</v>
      </c>
      <c r="L1281" s="13">
        <f t="shared" si="41"/>
        <v>9.5682124756079983</v>
      </c>
      <c r="M1281" s="16">
        <f t="shared" si="42"/>
        <v>17504</v>
      </c>
    </row>
    <row r="1282" spans="1:13" x14ac:dyDescent="0.3">
      <c r="A1282">
        <v>101280</v>
      </c>
      <c r="B1282" t="s">
        <v>18</v>
      </c>
      <c r="C1282" t="s">
        <v>14</v>
      </c>
      <c r="D1282" t="s">
        <v>12</v>
      </c>
      <c r="E1282" s="1">
        <v>45842</v>
      </c>
      <c r="F1282" s="4">
        <v>92781</v>
      </c>
      <c r="G1282" s="4">
        <v>312162</v>
      </c>
      <c r="H1282" s="2">
        <v>2345</v>
      </c>
      <c r="I1282" s="16">
        <v>6</v>
      </c>
      <c r="J1282" s="1">
        <v>45848</v>
      </c>
      <c r="K1282" s="3">
        <v>0.29720000000000002</v>
      </c>
      <c r="L1282" s="13">
        <f t="shared" ref="L1282:L1337" si="43">H1282/G1282*1000</f>
        <v>7.5121251145238697</v>
      </c>
      <c r="M1282" s="16">
        <f t="shared" ref="M1282:M1337" si="44">IFERROR(F1282/I1282,"No Data")</f>
        <v>15463.5</v>
      </c>
    </row>
    <row r="1283" spans="1:13" x14ac:dyDescent="0.3">
      <c r="A1283">
        <v>101281</v>
      </c>
      <c r="B1283" t="s">
        <v>13</v>
      </c>
      <c r="C1283" t="s">
        <v>14</v>
      </c>
      <c r="D1283" t="s">
        <v>22</v>
      </c>
      <c r="E1283" s="1">
        <v>45843</v>
      </c>
      <c r="F1283" s="4">
        <v>18616</v>
      </c>
      <c r="G1283" s="4">
        <v>990286</v>
      </c>
      <c r="H1283" s="2">
        <v>2757</v>
      </c>
      <c r="I1283" s="16">
        <v>10</v>
      </c>
      <c r="J1283" s="1">
        <v>45853</v>
      </c>
      <c r="K1283" s="3">
        <v>1.8800000000000001E-2</v>
      </c>
      <c r="L1283" s="13">
        <f t="shared" si="43"/>
        <v>2.7840442054113663</v>
      </c>
      <c r="M1283" s="16">
        <f t="shared" si="44"/>
        <v>1861.6</v>
      </c>
    </row>
    <row r="1284" spans="1:13" x14ac:dyDescent="0.3">
      <c r="A1284">
        <v>101282</v>
      </c>
      <c r="B1284" t="s">
        <v>13</v>
      </c>
      <c r="C1284" t="s">
        <v>14</v>
      </c>
      <c r="D1284" t="s">
        <v>15</v>
      </c>
      <c r="E1284" s="1">
        <v>45844</v>
      </c>
      <c r="F1284" s="4">
        <v>44654</v>
      </c>
      <c r="G1284" s="4">
        <v>299949</v>
      </c>
      <c r="H1284" s="2">
        <v>3094</v>
      </c>
      <c r="I1284" s="16">
        <v>25</v>
      </c>
      <c r="J1284" s="1">
        <v>45869</v>
      </c>
      <c r="K1284" s="3">
        <v>0.1489</v>
      </c>
      <c r="L1284" s="13">
        <f t="shared" si="43"/>
        <v>10.31508689810601</v>
      </c>
      <c r="M1284" s="16">
        <f t="shared" si="44"/>
        <v>1786.16</v>
      </c>
    </row>
    <row r="1285" spans="1:13" x14ac:dyDescent="0.3">
      <c r="A1285">
        <v>101283</v>
      </c>
      <c r="B1285" t="s">
        <v>13</v>
      </c>
      <c r="C1285" t="s">
        <v>23</v>
      </c>
      <c r="D1285" t="s">
        <v>15</v>
      </c>
      <c r="E1285" s="1">
        <v>45845</v>
      </c>
      <c r="F1285" s="4">
        <v>7140</v>
      </c>
      <c r="G1285" s="4">
        <v>378412</v>
      </c>
      <c r="H1285" s="2">
        <v>1589</v>
      </c>
      <c r="I1285" s="16">
        <v>22</v>
      </c>
      <c r="J1285" s="1">
        <v>45867</v>
      </c>
      <c r="K1285" s="3">
        <v>1.89E-2</v>
      </c>
      <c r="L1285" s="13">
        <f t="shared" si="43"/>
        <v>4.1991268775831632</v>
      </c>
      <c r="M1285" s="16">
        <f t="shared" si="44"/>
        <v>324.54545454545456</v>
      </c>
    </row>
    <row r="1286" spans="1:13" x14ac:dyDescent="0.3">
      <c r="A1286">
        <v>101284</v>
      </c>
      <c r="B1286" t="s">
        <v>19</v>
      </c>
      <c r="C1286" t="s">
        <v>20</v>
      </c>
      <c r="D1286" t="s">
        <v>22</v>
      </c>
      <c r="E1286" s="1">
        <v>45846</v>
      </c>
      <c r="F1286" s="4">
        <v>45578</v>
      </c>
      <c r="G1286" s="4">
        <v>35969</v>
      </c>
      <c r="H1286" s="2">
        <v>3377</v>
      </c>
      <c r="I1286" s="16">
        <v>2</v>
      </c>
      <c r="J1286" s="1">
        <v>45848</v>
      </c>
      <c r="K1286" s="3">
        <v>1.2670999999999999</v>
      </c>
      <c r="L1286" s="13">
        <f t="shared" si="43"/>
        <v>93.886402179654695</v>
      </c>
      <c r="M1286" s="16">
        <f t="shared" si="44"/>
        <v>22789</v>
      </c>
    </row>
    <row r="1287" spans="1:13" x14ac:dyDescent="0.3">
      <c r="A1287">
        <v>101285</v>
      </c>
      <c r="B1287" t="s">
        <v>19</v>
      </c>
      <c r="C1287" t="s">
        <v>25</v>
      </c>
      <c r="D1287" t="s">
        <v>15</v>
      </c>
      <c r="E1287" s="1">
        <v>45847</v>
      </c>
      <c r="F1287" s="4">
        <v>44020</v>
      </c>
      <c r="G1287" s="4">
        <v>9892</v>
      </c>
      <c r="H1287" s="2">
        <v>3672</v>
      </c>
      <c r="I1287" s="16">
        <v>7</v>
      </c>
      <c r="J1287" s="1">
        <v>45854</v>
      </c>
      <c r="K1287" s="3">
        <v>4.4500999999999999</v>
      </c>
      <c r="L1287" s="13">
        <f t="shared" si="43"/>
        <v>371.20905782450461</v>
      </c>
      <c r="M1287" s="16">
        <f t="shared" si="44"/>
        <v>6288.5714285714284</v>
      </c>
    </row>
    <row r="1288" spans="1:13" x14ac:dyDescent="0.3">
      <c r="A1288">
        <v>101286</v>
      </c>
      <c r="B1288" t="s">
        <v>18</v>
      </c>
      <c r="C1288" t="s">
        <v>11</v>
      </c>
      <c r="D1288" t="s">
        <v>24</v>
      </c>
      <c r="E1288" s="1">
        <v>45848</v>
      </c>
      <c r="F1288" s="4">
        <v>92226</v>
      </c>
      <c r="G1288" s="4">
        <v>481835</v>
      </c>
      <c r="H1288" s="2">
        <v>4567</v>
      </c>
      <c r="I1288" s="16">
        <v>15</v>
      </c>
      <c r="J1288" s="1">
        <v>45863</v>
      </c>
      <c r="K1288" s="3">
        <v>0.19139999999999999</v>
      </c>
      <c r="L1288" s="13">
        <f t="shared" si="43"/>
        <v>9.4783483972729261</v>
      </c>
      <c r="M1288" s="16">
        <f t="shared" si="44"/>
        <v>6148.4</v>
      </c>
    </row>
    <row r="1289" spans="1:13" x14ac:dyDescent="0.3">
      <c r="A1289">
        <v>101287</v>
      </c>
      <c r="B1289" t="s">
        <v>18</v>
      </c>
      <c r="C1289" t="s">
        <v>14</v>
      </c>
      <c r="D1289" t="s">
        <v>17</v>
      </c>
      <c r="E1289" s="1">
        <v>45849</v>
      </c>
      <c r="F1289" s="4">
        <v>19755</v>
      </c>
      <c r="G1289" s="4">
        <v>503489</v>
      </c>
      <c r="H1289" s="2">
        <v>3873</v>
      </c>
      <c r="I1289" s="16">
        <v>26</v>
      </c>
      <c r="J1289" s="1">
        <v>45875</v>
      </c>
      <c r="K1289" s="3">
        <v>3.9199999999999999E-2</v>
      </c>
      <c r="L1289" s="13">
        <f t="shared" si="43"/>
        <v>7.692322970313155</v>
      </c>
      <c r="M1289" s="16">
        <f t="shared" si="44"/>
        <v>759.80769230769226</v>
      </c>
    </row>
    <row r="1290" spans="1:13" x14ac:dyDescent="0.3">
      <c r="A1290">
        <v>101288</v>
      </c>
      <c r="B1290" t="s">
        <v>13</v>
      </c>
      <c r="C1290" t="s">
        <v>14</v>
      </c>
      <c r="D1290" t="s">
        <v>12</v>
      </c>
      <c r="E1290" s="1">
        <v>45850</v>
      </c>
      <c r="F1290" s="4">
        <v>89177</v>
      </c>
      <c r="G1290" s="4">
        <v>759745</v>
      </c>
      <c r="H1290" s="2">
        <v>2179</v>
      </c>
      <c r="I1290" s="16">
        <v>8</v>
      </c>
      <c r="J1290" s="1">
        <v>45858</v>
      </c>
      <c r="K1290" s="3">
        <v>0.1174</v>
      </c>
      <c r="L1290" s="13">
        <f t="shared" si="43"/>
        <v>2.8680675753048721</v>
      </c>
      <c r="M1290" s="16">
        <f t="shared" si="44"/>
        <v>11147.125</v>
      </c>
    </row>
    <row r="1291" spans="1:13" x14ac:dyDescent="0.3">
      <c r="A1291">
        <v>101289</v>
      </c>
      <c r="B1291" t="s">
        <v>13</v>
      </c>
      <c r="C1291" t="s">
        <v>23</v>
      </c>
      <c r="D1291" t="s">
        <v>22</v>
      </c>
      <c r="E1291" s="1">
        <v>45851</v>
      </c>
      <c r="F1291" s="4">
        <v>34901</v>
      </c>
      <c r="G1291" s="4">
        <v>702741</v>
      </c>
      <c r="H1291" s="2">
        <v>251</v>
      </c>
      <c r="I1291" s="16">
        <v>24</v>
      </c>
      <c r="J1291" s="1">
        <v>45875</v>
      </c>
      <c r="K1291" s="3">
        <v>4.9700000000000001E-2</v>
      </c>
      <c r="L1291" s="13">
        <f t="shared" si="43"/>
        <v>0.35717284177243114</v>
      </c>
      <c r="M1291" s="16">
        <f t="shared" si="44"/>
        <v>1454.2083333333333</v>
      </c>
    </row>
    <row r="1292" spans="1:13" x14ac:dyDescent="0.3">
      <c r="A1292">
        <v>101290</v>
      </c>
      <c r="B1292" t="s">
        <v>13</v>
      </c>
      <c r="C1292" t="s">
        <v>25</v>
      </c>
      <c r="D1292" t="s">
        <v>12</v>
      </c>
      <c r="E1292" s="1">
        <v>45852</v>
      </c>
      <c r="F1292" s="4">
        <v>48344</v>
      </c>
      <c r="G1292" s="4">
        <v>336125</v>
      </c>
      <c r="H1292" s="2">
        <v>2376</v>
      </c>
      <c r="I1292" s="16">
        <v>6</v>
      </c>
      <c r="J1292" s="1">
        <v>45858</v>
      </c>
      <c r="K1292" s="3">
        <v>0.14380000000000001</v>
      </c>
      <c r="L1292" s="13">
        <f t="shared" si="43"/>
        <v>7.0687988099665295</v>
      </c>
      <c r="M1292" s="16">
        <f t="shared" si="44"/>
        <v>8057.333333333333</v>
      </c>
    </row>
    <row r="1293" spans="1:13" x14ac:dyDescent="0.3">
      <c r="A1293">
        <v>101291</v>
      </c>
      <c r="B1293" t="s">
        <v>13</v>
      </c>
      <c r="C1293" t="s">
        <v>20</v>
      </c>
      <c r="D1293" t="s">
        <v>12</v>
      </c>
      <c r="E1293" s="1">
        <v>45853</v>
      </c>
      <c r="F1293" s="4">
        <v>13871</v>
      </c>
      <c r="G1293" s="4">
        <v>406888</v>
      </c>
      <c r="H1293" s="2">
        <v>2370</v>
      </c>
      <c r="I1293" s="16">
        <v>5</v>
      </c>
      <c r="J1293" s="1">
        <v>45858</v>
      </c>
      <c r="K1293" s="3">
        <v>3.4099999999999998E-2</v>
      </c>
      <c r="L1293" s="13">
        <f t="shared" si="43"/>
        <v>5.8246986885826075</v>
      </c>
      <c r="M1293" s="16">
        <f t="shared" si="44"/>
        <v>2774.2</v>
      </c>
    </row>
    <row r="1294" spans="1:13" x14ac:dyDescent="0.3">
      <c r="A1294">
        <v>101292</v>
      </c>
      <c r="B1294" t="s">
        <v>13</v>
      </c>
      <c r="C1294" t="s">
        <v>23</v>
      </c>
      <c r="D1294" t="s">
        <v>17</v>
      </c>
      <c r="E1294" s="1">
        <v>45854</v>
      </c>
      <c r="F1294" s="4">
        <v>21003</v>
      </c>
      <c r="G1294" s="4">
        <v>842582</v>
      </c>
      <c r="H1294" s="2">
        <v>4886</v>
      </c>
      <c r="I1294" s="16">
        <v>1</v>
      </c>
      <c r="J1294" s="1">
        <v>45855</v>
      </c>
      <c r="K1294" s="3">
        <v>2.4899999999999999E-2</v>
      </c>
      <c r="L1294" s="13">
        <f t="shared" si="43"/>
        <v>5.7988421304988718</v>
      </c>
      <c r="M1294" s="16">
        <f t="shared" si="44"/>
        <v>21003</v>
      </c>
    </row>
    <row r="1295" spans="1:13" x14ac:dyDescent="0.3">
      <c r="A1295">
        <v>101293</v>
      </c>
      <c r="B1295" t="s">
        <v>18</v>
      </c>
      <c r="C1295" t="s">
        <v>14</v>
      </c>
      <c r="D1295" t="s">
        <v>24</v>
      </c>
      <c r="E1295" s="1">
        <v>45855</v>
      </c>
      <c r="F1295" s="4">
        <v>98003</v>
      </c>
      <c r="G1295" s="4">
        <v>373994</v>
      </c>
      <c r="H1295" s="2">
        <v>3505</v>
      </c>
      <c r="I1295" s="16">
        <v>27</v>
      </c>
      <c r="J1295" s="1">
        <v>45882</v>
      </c>
      <c r="K1295" s="3">
        <v>0.26200000000000001</v>
      </c>
      <c r="L1295" s="13">
        <f t="shared" si="43"/>
        <v>9.3718081038733239</v>
      </c>
      <c r="M1295" s="16">
        <f t="shared" si="44"/>
        <v>3629.7407407407409</v>
      </c>
    </row>
    <row r="1296" spans="1:13" x14ac:dyDescent="0.3">
      <c r="A1296">
        <v>101294</v>
      </c>
      <c r="B1296" t="s">
        <v>18</v>
      </c>
      <c r="C1296" t="s">
        <v>25</v>
      </c>
      <c r="D1296" t="s">
        <v>24</v>
      </c>
      <c r="E1296" s="1">
        <v>45856</v>
      </c>
      <c r="F1296" s="4">
        <v>6183</v>
      </c>
      <c r="G1296" s="4">
        <v>924567</v>
      </c>
      <c r="H1296" s="2">
        <v>2028</v>
      </c>
      <c r="I1296" s="16">
        <v>24</v>
      </c>
      <c r="J1296" s="1">
        <v>45880</v>
      </c>
      <c r="K1296" s="3">
        <v>6.7000000000000002E-3</v>
      </c>
      <c r="L1296" s="13">
        <f t="shared" si="43"/>
        <v>2.1934592084727229</v>
      </c>
      <c r="M1296" s="16">
        <f t="shared" si="44"/>
        <v>257.625</v>
      </c>
    </row>
    <row r="1297" spans="1:13" x14ac:dyDescent="0.3">
      <c r="A1297">
        <v>101295</v>
      </c>
      <c r="B1297" t="s">
        <v>18</v>
      </c>
      <c r="C1297" t="s">
        <v>20</v>
      </c>
      <c r="D1297" t="s">
        <v>22</v>
      </c>
      <c r="E1297" s="1">
        <v>45857</v>
      </c>
      <c r="F1297" s="4">
        <v>17800</v>
      </c>
      <c r="G1297" s="4">
        <v>257802</v>
      </c>
      <c r="H1297" s="2">
        <v>2508</v>
      </c>
      <c r="I1297" s="16">
        <v>1</v>
      </c>
      <c r="J1297" s="1">
        <v>45858</v>
      </c>
      <c r="K1297" s="3">
        <v>6.9000000000000006E-2</v>
      </c>
      <c r="L1297" s="13">
        <f t="shared" si="43"/>
        <v>9.7283962110456859</v>
      </c>
      <c r="M1297" s="16">
        <f t="shared" si="44"/>
        <v>17800</v>
      </c>
    </row>
    <row r="1298" spans="1:13" x14ac:dyDescent="0.3">
      <c r="A1298">
        <v>101296</v>
      </c>
      <c r="B1298" t="s">
        <v>18</v>
      </c>
      <c r="C1298" t="s">
        <v>14</v>
      </c>
      <c r="D1298" t="s">
        <v>17</v>
      </c>
      <c r="E1298" s="1">
        <v>45858</v>
      </c>
      <c r="F1298" s="4">
        <v>45194</v>
      </c>
      <c r="G1298" s="4">
        <v>230583</v>
      </c>
      <c r="H1298" s="2">
        <v>175</v>
      </c>
      <c r="I1298" s="16">
        <v>13</v>
      </c>
      <c r="J1298" s="1">
        <v>45871</v>
      </c>
      <c r="K1298" s="3">
        <v>0.19600000000000001</v>
      </c>
      <c r="L1298" s="13">
        <f t="shared" si="43"/>
        <v>0.75894580259602828</v>
      </c>
      <c r="M1298" s="16">
        <f t="shared" si="44"/>
        <v>3476.4615384615386</v>
      </c>
    </row>
    <row r="1299" spans="1:13" x14ac:dyDescent="0.3">
      <c r="A1299">
        <v>101297</v>
      </c>
      <c r="B1299" t="s">
        <v>18</v>
      </c>
      <c r="C1299" t="s">
        <v>16</v>
      </c>
      <c r="D1299" t="s">
        <v>24</v>
      </c>
      <c r="E1299" s="1">
        <v>45859</v>
      </c>
      <c r="F1299" s="4">
        <v>63877</v>
      </c>
      <c r="G1299" s="4">
        <v>577052</v>
      </c>
      <c r="H1299" s="2">
        <v>1837</v>
      </c>
      <c r="I1299" s="16">
        <v>5</v>
      </c>
      <c r="J1299" s="1">
        <v>45864</v>
      </c>
      <c r="K1299" s="3">
        <v>0.11070000000000001</v>
      </c>
      <c r="L1299" s="13">
        <f t="shared" si="43"/>
        <v>3.1834219446427703</v>
      </c>
      <c r="M1299" s="16">
        <f t="shared" si="44"/>
        <v>12775.4</v>
      </c>
    </row>
    <row r="1300" spans="1:13" x14ac:dyDescent="0.3">
      <c r="A1300">
        <v>101298</v>
      </c>
      <c r="B1300" t="s">
        <v>10</v>
      </c>
      <c r="C1300" t="s">
        <v>11</v>
      </c>
      <c r="D1300" t="s">
        <v>15</v>
      </c>
      <c r="E1300" s="1">
        <v>45860</v>
      </c>
      <c r="F1300" s="4">
        <v>70657</v>
      </c>
      <c r="G1300" s="4">
        <v>531451</v>
      </c>
      <c r="H1300" s="2">
        <v>298</v>
      </c>
      <c r="I1300" s="16">
        <v>9</v>
      </c>
      <c r="J1300" s="1">
        <v>45869</v>
      </c>
      <c r="K1300" s="3">
        <v>0.13300000000000001</v>
      </c>
      <c r="L1300" s="13">
        <f t="shared" si="43"/>
        <v>0.56072902299553484</v>
      </c>
      <c r="M1300" s="16">
        <f t="shared" si="44"/>
        <v>7850.7777777777774</v>
      </c>
    </row>
    <row r="1301" spans="1:13" x14ac:dyDescent="0.3">
      <c r="A1301">
        <v>101299</v>
      </c>
      <c r="B1301" t="s">
        <v>18</v>
      </c>
      <c r="C1301" t="s">
        <v>20</v>
      </c>
      <c r="D1301" t="s">
        <v>15</v>
      </c>
      <c r="E1301" s="1">
        <v>45861</v>
      </c>
      <c r="F1301" s="4">
        <v>83923</v>
      </c>
      <c r="G1301" s="4">
        <v>683919</v>
      </c>
      <c r="H1301" s="2">
        <v>3921</v>
      </c>
      <c r="I1301" s="16">
        <v>29</v>
      </c>
      <c r="J1301" s="1">
        <v>45890</v>
      </c>
      <c r="K1301" s="3">
        <v>0.1227</v>
      </c>
      <c r="L1301" s="13">
        <f t="shared" si="43"/>
        <v>5.7331350642400629</v>
      </c>
      <c r="M1301" s="16">
        <f t="shared" si="44"/>
        <v>2893.8965517241381</v>
      </c>
    </row>
    <row r="1302" spans="1:13" x14ac:dyDescent="0.3">
      <c r="A1302">
        <v>101300</v>
      </c>
      <c r="B1302" t="s">
        <v>18</v>
      </c>
      <c r="C1302" t="s">
        <v>23</v>
      </c>
      <c r="D1302" t="s">
        <v>17</v>
      </c>
      <c r="E1302" s="1">
        <v>45862</v>
      </c>
      <c r="F1302" s="4">
        <v>41686</v>
      </c>
      <c r="G1302" s="4">
        <v>434547</v>
      </c>
      <c r="H1302" s="2">
        <v>2629</v>
      </c>
      <c r="I1302" s="16">
        <v>14</v>
      </c>
      <c r="J1302" s="1">
        <v>45876</v>
      </c>
      <c r="K1302" s="3">
        <v>9.5899999999999999E-2</v>
      </c>
      <c r="L1302" s="13">
        <f t="shared" si="43"/>
        <v>6.049978483340122</v>
      </c>
      <c r="M1302" s="16">
        <f t="shared" si="44"/>
        <v>2977.5714285714284</v>
      </c>
    </row>
    <row r="1303" spans="1:13" x14ac:dyDescent="0.3">
      <c r="A1303">
        <v>101301</v>
      </c>
      <c r="B1303" t="s">
        <v>13</v>
      </c>
      <c r="C1303" t="s">
        <v>11</v>
      </c>
      <c r="D1303" t="s">
        <v>24</v>
      </c>
      <c r="E1303" s="1">
        <v>45863</v>
      </c>
      <c r="F1303" s="4">
        <v>37741</v>
      </c>
      <c r="G1303" s="4">
        <v>794293</v>
      </c>
      <c r="H1303" s="2">
        <v>796</v>
      </c>
      <c r="I1303" s="16">
        <v>29</v>
      </c>
      <c r="J1303" s="1">
        <v>45892</v>
      </c>
      <c r="K1303" s="3">
        <v>4.7500000000000001E-2</v>
      </c>
      <c r="L1303" s="13">
        <f t="shared" si="43"/>
        <v>1.0021490810066309</v>
      </c>
      <c r="M1303" s="16">
        <f t="shared" si="44"/>
        <v>1301.4137931034484</v>
      </c>
    </row>
    <row r="1304" spans="1:13" x14ac:dyDescent="0.3">
      <c r="A1304">
        <v>101302</v>
      </c>
      <c r="B1304" t="s">
        <v>10</v>
      </c>
      <c r="C1304" t="s">
        <v>21</v>
      </c>
      <c r="D1304" t="s">
        <v>15</v>
      </c>
      <c r="E1304" s="1">
        <v>45864</v>
      </c>
      <c r="F1304" s="4">
        <v>74479</v>
      </c>
      <c r="G1304" s="4">
        <v>254069</v>
      </c>
      <c r="H1304" s="2">
        <v>4907</v>
      </c>
      <c r="I1304" s="16">
        <v>16</v>
      </c>
      <c r="J1304" s="1">
        <v>45880</v>
      </c>
      <c r="K1304" s="3">
        <v>0.29310000000000003</v>
      </c>
      <c r="L1304" s="13">
        <f t="shared" si="43"/>
        <v>19.313651016062565</v>
      </c>
      <c r="M1304" s="16">
        <f t="shared" si="44"/>
        <v>4654.9375</v>
      </c>
    </row>
    <row r="1305" spans="1:13" x14ac:dyDescent="0.3">
      <c r="A1305">
        <v>101303</v>
      </c>
      <c r="B1305" t="s">
        <v>18</v>
      </c>
      <c r="C1305" t="s">
        <v>25</v>
      </c>
      <c r="D1305" t="s">
        <v>15</v>
      </c>
      <c r="E1305" s="1">
        <v>45865</v>
      </c>
      <c r="F1305" s="4">
        <v>33350</v>
      </c>
      <c r="G1305" s="4">
        <v>462120</v>
      </c>
      <c r="H1305" s="2">
        <v>3223</v>
      </c>
      <c r="I1305" s="16">
        <v>27</v>
      </c>
      <c r="J1305" s="1">
        <v>45892</v>
      </c>
      <c r="K1305" s="3">
        <v>7.22E-2</v>
      </c>
      <c r="L1305" s="13">
        <f t="shared" si="43"/>
        <v>6.9743789491906867</v>
      </c>
      <c r="M1305" s="16">
        <f t="shared" si="44"/>
        <v>1235.1851851851852</v>
      </c>
    </row>
    <row r="1306" spans="1:13" x14ac:dyDescent="0.3">
      <c r="A1306">
        <v>101304</v>
      </c>
      <c r="B1306" t="s">
        <v>10</v>
      </c>
      <c r="C1306" t="s">
        <v>20</v>
      </c>
      <c r="D1306" t="s">
        <v>22</v>
      </c>
      <c r="E1306" s="1">
        <v>45866</v>
      </c>
      <c r="F1306" s="4">
        <v>6153</v>
      </c>
      <c r="G1306" s="4">
        <v>379160</v>
      </c>
      <c r="H1306" s="2">
        <v>3638</v>
      </c>
      <c r="I1306" s="16">
        <v>14</v>
      </c>
      <c r="J1306" s="1">
        <v>45880</v>
      </c>
      <c r="K1306" s="3">
        <v>1.6199999999999999E-2</v>
      </c>
      <c r="L1306" s="13">
        <f t="shared" si="43"/>
        <v>9.5948939761578238</v>
      </c>
      <c r="M1306" s="16">
        <f t="shared" si="44"/>
        <v>439.5</v>
      </c>
    </row>
    <row r="1307" spans="1:13" x14ac:dyDescent="0.3">
      <c r="A1307">
        <v>101305</v>
      </c>
      <c r="B1307" t="s">
        <v>19</v>
      </c>
      <c r="C1307" t="s">
        <v>20</v>
      </c>
      <c r="D1307" t="s">
        <v>24</v>
      </c>
      <c r="E1307" s="1">
        <v>45867</v>
      </c>
      <c r="F1307" s="4">
        <v>63704</v>
      </c>
      <c r="G1307" s="4">
        <v>382867</v>
      </c>
      <c r="H1307" s="2">
        <v>4188</v>
      </c>
      <c r="I1307" s="16">
        <v>19</v>
      </c>
      <c r="J1307" s="1">
        <v>45886</v>
      </c>
      <c r="K1307" s="3">
        <v>0.16639999999999999</v>
      </c>
      <c r="L1307" s="13">
        <f t="shared" si="43"/>
        <v>10.938524343962786</v>
      </c>
      <c r="M1307" s="16">
        <f t="shared" si="44"/>
        <v>3352.8421052631579</v>
      </c>
    </row>
    <row r="1308" spans="1:13" x14ac:dyDescent="0.3">
      <c r="A1308">
        <v>101306</v>
      </c>
      <c r="B1308" t="s">
        <v>13</v>
      </c>
      <c r="C1308" t="s">
        <v>20</v>
      </c>
      <c r="D1308" t="s">
        <v>12</v>
      </c>
      <c r="E1308" s="1">
        <v>45868</v>
      </c>
      <c r="F1308" s="4">
        <v>21050</v>
      </c>
      <c r="G1308" s="4">
        <v>864867</v>
      </c>
      <c r="H1308" s="2">
        <v>2868</v>
      </c>
      <c r="I1308" s="16">
        <v>19</v>
      </c>
      <c r="J1308" s="1">
        <v>45887</v>
      </c>
      <c r="K1308" s="3">
        <v>2.4299999999999999E-2</v>
      </c>
      <c r="L1308" s="13">
        <f t="shared" si="43"/>
        <v>3.3161168133366172</v>
      </c>
      <c r="M1308" s="16">
        <f t="shared" si="44"/>
        <v>1107.8947368421052</v>
      </c>
    </row>
    <row r="1309" spans="1:13" x14ac:dyDescent="0.3">
      <c r="A1309">
        <v>101307</v>
      </c>
      <c r="B1309" t="s">
        <v>13</v>
      </c>
      <c r="C1309" t="s">
        <v>23</v>
      </c>
      <c r="D1309" t="s">
        <v>22</v>
      </c>
      <c r="E1309" s="1">
        <v>45869</v>
      </c>
      <c r="F1309" s="4">
        <v>66601</v>
      </c>
      <c r="G1309" s="4">
        <v>733826</v>
      </c>
      <c r="H1309" s="2">
        <v>4117</v>
      </c>
      <c r="I1309" s="16">
        <v>5</v>
      </c>
      <c r="J1309" s="1">
        <v>45874</v>
      </c>
      <c r="K1309" s="3">
        <v>9.0800000000000006E-2</v>
      </c>
      <c r="L1309" s="13">
        <f t="shared" si="43"/>
        <v>5.6103217929045845</v>
      </c>
      <c r="M1309" s="16">
        <f t="shared" si="44"/>
        <v>13320.2</v>
      </c>
    </row>
    <row r="1310" spans="1:13" x14ac:dyDescent="0.3">
      <c r="A1310">
        <v>101308</v>
      </c>
      <c r="B1310" t="s">
        <v>18</v>
      </c>
      <c r="C1310" t="s">
        <v>16</v>
      </c>
      <c r="D1310" t="s">
        <v>17</v>
      </c>
      <c r="E1310" s="1">
        <v>45870</v>
      </c>
      <c r="F1310" s="4">
        <v>21951</v>
      </c>
      <c r="G1310" s="4">
        <v>752959</v>
      </c>
      <c r="H1310" s="2">
        <v>488</v>
      </c>
      <c r="I1310" s="16">
        <v>28</v>
      </c>
      <c r="J1310" s="1">
        <v>45898</v>
      </c>
      <c r="K1310" s="3">
        <v>2.92E-2</v>
      </c>
      <c r="L1310" s="13">
        <f t="shared" si="43"/>
        <v>0.64810965802918885</v>
      </c>
      <c r="M1310" s="16">
        <f t="shared" si="44"/>
        <v>783.96428571428567</v>
      </c>
    </row>
    <row r="1311" spans="1:13" x14ac:dyDescent="0.3">
      <c r="A1311">
        <v>101309</v>
      </c>
      <c r="B1311" t="s">
        <v>19</v>
      </c>
      <c r="C1311" t="s">
        <v>20</v>
      </c>
      <c r="D1311" t="s">
        <v>15</v>
      </c>
      <c r="E1311" s="1">
        <v>45871</v>
      </c>
      <c r="F1311" s="4">
        <v>66127</v>
      </c>
      <c r="G1311" s="4">
        <v>62216</v>
      </c>
      <c r="H1311" s="2">
        <v>2159</v>
      </c>
      <c r="I1311" s="16">
        <v>15</v>
      </c>
      <c r="J1311" s="1">
        <v>45886</v>
      </c>
      <c r="K1311" s="3">
        <v>1.0629</v>
      </c>
      <c r="L1311" s="13">
        <f t="shared" si="43"/>
        <v>34.701684454159697</v>
      </c>
      <c r="M1311" s="16">
        <f t="shared" si="44"/>
        <v>4408.4666666666662</v>
      </c>
    </row>
    <row r="1312" spans="1:13" x14ac:dyDescent="0.3">
      <c r="A1312">
        <v>101310</v>
      </c>
      <c r="B1312" t="s">
        <v>18</v>
      </c>
      <c r="C1312" t="s">
        <v>11</v>
      </c>
      <c r="D1312" t="s">
        <v>17</v>
      </c>
      <c r="E1312" s="1">
        <v>45872</v>
      </c>
      <c r="F1312" s="4">
        <v>8618</v>
      </c>
      <c r="G1312" s="4">
        <v>781710</v>
      </c>
      <c r="H1312" s="2">
        <v>3499</v>
      </c>
      <c r="I1312" s="16">
        <v>28</v>
      </c>
      <c r="J1312" s="1">
        <v>45900</v>
      </c>
      <c r="K1312" s="3">
        <v>1.0999999999999999E-2</v>
      </c>
      <c r="L1312" s="13">
        <f t="shared" si="43"/>
        <v>4.4760844814573177</v>
      </c>
      <c r="M1312" s="16">
        <f t="shared" si="44"/>
        <v>307.78571428571428</v>
      </c>
    </row>
    <row r="1313" spans="1:13" x14ac:dyDescent="0.3">
      <c r="A1313">
        <v>101311</v>
      </c>
      <c r="B1313" t="s">
        <v>19</v>
      </c>
      <c r="C1313" t="s">
        <v>16</v>
      </c>
      <c r="D1313" t="s">
        <v>22</v>
      </c>
      <c r="E1313" s="1">
        <v>45873</v>
      </c>
      <c r="F1313" s="4">
        <v>55148</v>
      </c>
      <c r="G1313" s="4">
        <v>595353</v>
      </c>
      <c r="H1313" s="2">
        <v>2939</v>
      </c>
      <c r="I1313" s="16">
        <v>3</v>
      </c>
      <c r="J1313" s="1">
        <v>45876</v>
      </c>
      <c r="K1313" s="3">
        <v>9.2600000000000002E-2</v>
      </c>
      <c r="L1313" s="13">
        <f t="shared" si="43"/>
        <v>4.9365670450976138</v>
      </c>
      <c r="M1313" s="16">
        <f t="shared" si="44"/>
        <v>18382.666666666668</v>
      </c>
    </row>
    <row r="1314" spans="1:13" x14ac:dyDescent="0.3">
      <c r="A1314">
        <v>101312</v>
      </c>
      <c r="B1314" t="s">
        <v>13</v>
      </c>
      <c r="C1314" t="s">
        <v>16</v>
      </c>
      <c r="D1314" t="s">
        <v>24</v>
      </c>
      <c r="E1314" s="1">
        <v>45874</v>
      </c>
      <c r="F1314" s="4">
        <v>23124</v>
      </c>
      <c r="G1314" s="4">
        <v>911641</v>
      </c>
      <c r="H1314" s="2">
        <v>2990</v>
      </c>
      <c r="I1314" s="16">
        <v>11</v>
      </c>
      <c r="J1314" s="1">
        <v>45885</v>
      </c>
      <c r="K1314" s="3">
        <v>2.5399999999999999E-2</v>
      </c>
      <c r="L1314" s="13">
        <f t="shared" si="43"/>
        <v>3.2797998334870853</v>
      </c>
      <c r="M1314" s="16">
        <f t="shared" si="44"/>
        <v>2102.181818181818</v>
      </c>
    </row>
    <row r="1315" spans="1:13" x14ac:dyDescent="0.3">
      <c r="A1315">
        <v>101313</v>
      </c>
      <c r="B1315" t="s">
        <v>18</v>
      </c>
      <c r="C1315" t="s">
        <v>23</v>
      </c>
      <c r="D1315" t="s">
        <v>24</v>
      </c>
      <c r="E1315" s="1">
        <v>45875</v>
      </c>
      <c r="F1315" s="4">
        <v>37546</v>
      </c>
      <c r="G1315" s="4">
        <v>666884</v>
      </c>
      <c r="H1315" s="2">
        <v>1512</v>
      </c>
      <c r="I1315" s="16">
        <v>6</v>
      </c>
      <c r="J1315" s="1">
        <v>45881</v>
      </c>
      <c r="K1315" s="3">
        <v>5.6300000000000003E-2</v>
      </c>
      <c r="L1315" s="13">
        <f t="shared" si="43"/>
        <v>2.2672608729554162</v>
      </c>
      <c r="M1315" s="16">
        <f t="shared" si="44"/>
        <v>6257.666666666667</v>
      </c>
    </row>
    <row r="1316" spans="1:13" x14ac:dyDescent="0.3">
      <c r="A1316">
        <v>101314</v>
      </c>
      <c r="B1316" t="s">
        <v>18</v>
      </c>
      <c r="C1316" t="s">
        <v>21</v>
      </c>
      <c r="D1316" t="s">
        <v>15</v>
      </c>
      <c r="E1316" s="1">
        <v>45876</v>
      </c>
      <c r="F1316" s="4">
        <v>67889</v>
      </c>
      <c r="G1316" s="4">
        <v>325626</v>
      </c>
      <c r="H1316" s="2">
        <v>1571</v>
      </c>
      <c r="I1316" s="16">
        <v>2</v>
      </c>
      <c r="J1316" s="1">
        <v>45878</v>
      </c>
      <c r="K1316" s="3">
        <v>0.20849999999999999</v>
      </c>
      <c r="L1316" s="13">
        <f t="shared" si="43"/>
        <v>4.8245533219091836</v>
      </c>
      <c r="M1316" s="16">
        <f t="shared" si="44"/>
        <v>33944.5</v>
      </c>
    </row>
    <row r="1317" spans="1:13" x14ac:dyDescent="0.3">
      <c r="A1317">
        <v>101315</v>
      </c>
      <c r="B1317" t="s">
        <v>13</v>
      </c>
      <c r="C1317" t="s">
        <v>21</v>
      </c>
      <c r="D1317" t="s">
        <v>15</v>
      </c>
      <c r="E1317" s="1">
        <v>45877</v>
      </c>
      <c r="F1317" s="4">
        <v>54079</v>
      </c>
      <c r="G1317" s="4">
        <v>928905</v>
      </c>
      <c r="H1317" s="2">
        <v>4457</v>
      </c>
      <c r="I1317" s="16">
        <v>8</v>
      </c>
      <c r="J1317" s="1">
        <v>45885</v>
      </c>
      <c r="K1317" s="3">
        <v>5.8200000000000002E-2</v>
      </c>
      <c r="L1317" s="13">
        <f t="shared" si="43"/>
        <v>4.798122520602214</v>
      </c>
      <c r="M1317" s="16">
        <f t="shared" si="44"/>
        <v>6759.875</v>
      </c>
    </row>
    <row r="1318" spans="1:13" x14ac:dyDescent="0.3">
      <c r="A1318">
        <v>101316</v>
      </c>
      <c r="B1318" t="s">
        <v>13</v>
      </c>
      <c r="C1318" t="s">
        <v>23</v>
      </c>
      <c r="D1318" t="s">
        <v>17</v>
      </c>
      <c r="E1318" s="1">
        <v>45878</v>
      </c>
      <c r="F1318" s="4">
        <v>3737</v>
      </c>
      <c r="G1318" s="4">
        <v>625752</v>
      </c>
      <c r="H1318" s="2">
        <v>1383</v>
      </c>
      <c r="I1318" s="16">
        <v>23</v>
      </c>
      <c r="J1318" s="1">
        <v>45901</v>
      </c>
      <c r="K1318" s="3">
        <v>6.0000000000000001E-3</v>
      </c>
      <c r="L1318" s="13">
        <f t="shared" si="43"/>
        <v>2.2101407586392057</v>
      </c>
      <c r="M1318" s="16">
        <f t="shared" si="44"/>
        <v>162.47826086956522</v>
      </c>
    </row>
    <row r="1319" spans="1:13" x14ac:dyDescent="0.3">
      <c r="A1319">
        <v>101317</v>
      </c>
      <c r="B1319" t="s">
        <v>18</v>
      </c>
      <c r="C1319" t="s">
        <v>21</v>
      </c>
      <c r="D1319" t="s">
        <v>24</v>
      </c>
      <c r="E1319" s="1">
        <v>45879</v>
      </c>
      <c r="F1319" s="4">
        <v>27808</v>
      </c>
      <c r="G1319" s="4">
        <v>120981</v>
      </c>
      <c r="H1319" s="2">
        <v>2196</v>
      </c>
      <c r="I1319" s="16">
        <v>16</v>
      </c>
      <c r="J1319" s="1">
        <v>45895</v>
      </c>
      <c r="K1319" s="3">
        <v>0.22989999999999999</v>
      </c>
      <c r="L1319" s="13">
        <f t="shared" si="43"/>
        <v>18.15161058348005</v>
      </c>
      <c r="M1319" s="16">
        <f t="shared" si="44"/>
        <v>1738</v>
      </c>
    </row>
    <row r="1320" spans="1:13" x14ac:dyDescent="0.3">
      <c r="A1320">
        <v>101318</v>
      </c>
      <c r="B1320" t="s">
        <v>10</v>
      </c>
      <c r="C1320" t="s">
        <v>25</v>
      </c>
      <c r="D1320" t="s">
        <v>22</v>
      </c>
      <c r="E1320" s="1">
        <v>45880</v>
      </c>
      <c r="F1320" s="4">
        <v>66808</v>
      </c>
      <c r="G1320" s="4">
        <v>299074</v>
      </c>
      <c r="H1320" s="2">
        <v>1220</v>
      </c>
      <c r="I1320" s="16">
        <v>7</v>
      </c>
      <c r="J1320" s="1">
        <v>45887</v>
      </c>
      <c r="K1320" s="3">
        <v>0.22339999999999999</v>
      </c>
      <c r="L1320" s="13">
        <f t="shared" si="43"/>
        <v>4.0792579762868053</v>
      </c>
      <c r="M1320" s="16">
        <f t="shared" si="44"/>
        <v>9544</v>
      </c>
    </row>
    <row r="1321" spans="1:13" x14ac:dyDescent="0.3">
      <c r="A1321">
        <v>101319</v>
      </c>
      <c r="B1321" t="s">
        <v>10</v>
      </c>
      <c r="C1321" t="s">
        <v>11</v>
      </c>
      <c r="D1321" t="s">
        <v>12</v>
      </c>
      <c r="E1321" s="1">
        <v>45881</v>
      </c>
      <c r="F1321" s="4">
        <v>90432</v>
      </c>
      <c r="G1321" s="4">
        <v>484906</v>
      </c>
      <c r="H1321" s="2">
        <v>3829</v>
      </c>
      <c r="I1321" s="16">
        <v>29</v>
      </c>
      <c r="J1321" s="1">
        <v>45910</v>
      </c>
      <c r="K1321" s="3">
        <v>0.1865</v>
      </c>
      <c r="L1321" s="13">
        <f t="shared" si="43"/>
        <v>7.8963757924216234</v>
      </c>
      <c r="M1321" s="16">
        <f t="shared" si="44"/>
        <v>3118.344827586207</v>
      </c>
    </row>
    <row r="1322" spans="1:13" x14ac:dyDescent="0.3">
      <c r="A1322">
        <v>101320</v>
      </c>
      <c r="B1322" t="s">
        <v>13</v>
      </c>
      <c r="C1322" t="s">
        <v>25</v>
      </c>
      <c r="D1322" t="s">
        <v>24</v>
      </c>
      <c r="E1322" s="1">
        <v>45882</v>
      </c>
      <c r="F1322" s="4">
        <v>91270</v>
      </c>
      <c r="G1322" s="4">
        <v>83657</v>
      </c>
      <c r="H1322" s="2">
        <v>3256</v>
      </c>
      <c r="I1322" s="16">
        <v>8</v>
      </c>
      <c r="J1322" s="1">
        <v>45890</v>
      </c>
      <c r="K1322" s="3">
        <v>1.091</v>
      </c>
      <c r="L1322" s="13">
        <f t="shared" si="43"/>
        <v>38.920831490490933</v>
      </c>
      <c r="M1322" s="16">
        <f t="shared" si="44"/>
        <v>11408.75</v>
      </c>
    </row>
    <row r="1323" spans="1:13" x14ac:dyDescent="0.3">
      <c r="A1323">
        <v>101321</v>
      </c>
      <c r="B1323" t="s">
        <v>13</v>
      </c>
      <c r="C1323" t="s">
        <v>11</v>
      </c>
      <c r="D1323" t="s">
        <v>22</v>
      </c>
      <c r="E1323" s="1">
        <v>45883</v>
      </c>
      <c r="F1323" s="4">
        <v>84198</v>
      </c>
      <c r="G1323" s="4">
        <v>165652</v>
      </c>
      <c r="H1323" s="2">
        <v>633</v>
      </c>
      <c r="I1323" s="16">
        <v>16</v>
      </c>
      <c r="J1323" s="1">
        <v>45899</v>
      </c>
      <c r="K1323" s="3">
        <v>0.50829999999999997</v>
      </c>
      <c r="L1323" s="13">
        <f t="shared" si="43"/>
        <v>3.8212638543452537</v>
      </c>
      <c r="M1323" s="16">
        <f t="shared" si="44"/>
        <v>5262.375</v>
      </c>
    </row>
    <row r="1324" spans="1:13" x14ac:dyDescent="0.3">
      <c r="A1324">
        <v>101322</v>
      </c>
      <c r="B1324" t="s">
        <v>18</v>
      </c>
      <c r="C1324" t="s">
        <v>14</v>
      </c>
      <c r="D1324" t="s">
        <v>15</v>
      </c>
      <c r="E1324" s="1">
        <v>45884</v>
      </c>
      <c r="F1324" s="4">
        <v>37555</v>
      </c>
      <c r="G1324" s="4">
        <v>221008</v>
      </c>
      <c r="H1324" s="2">
        <v>2919</v>
      </c>
      <c r="I1324" s="16">
        <v>26</v>
      </c>
      <c r="J1324" s="1">
        <v>45910</v>
      </c>
      <c r="K1324" s="3">
        <v>0.1699</v>
      </c>
      <c r="L1324" s="13">
        <f t="shared" si="43"/>
        <v>13.207666690798522</v>
      </c>
      <c r="M1324" s="16">
        <f t="shared" si="44"/>
        <v>1444.4230769230769</v>
      </c>
    </row>
    <row r="1325" spans="1:13" x14ac:dyDescent="0.3">
      <c r="A1325">
        <v>101323</v>
      </c>
      <c r="B1325" t="s">
        <v>10</v>
      </c>
      <c r="C1325" t="s">
        <v>11</v>
      </c>
      <c r="D1325" t="s">
        <v>12</v>
      </c>
      <c r="E1325" s="1">
        <v>45885</v>
      </c>
      <c r="F1325" s="4">
        <v>28956</v>
      </c>
      <c r="G1325" s="4">
        <v>497275</v>
      </c>
      <c r="H1325" s="2">
        <v>1761</v>
      </c>
      <c r="I1325" s="16">
        <v>1</v>
      </c>
      <c r="J1325" s="1">
        <v>45886</v>
      </c>
      <c r="K1325" s="3">
        <v>5.8200000000000002E-2</v>
      </c>
      <c r="L1325" s="13">
        <f t="shared" si="43"/>
        <v>3.5413000854657883</v>
      </c>
      <c r="M1325" s="16">
        <f t="shared" si="44"/>
        <v>28956</v>
      </c>
    </row>
    <row r="1326" spans="1:13" x14ac:dyDescent="0.3">
      <c r="A1326">
        <v>101324</v>
      </c>
      <c r="B1326" t="s">
        <v>18</v>
      </c>
      <c r="C1326" t="s">
        <v>16</v>
      </c>
      <c r="D1326" t="s">
        <v>12</v>
      </c>
      <c r="E1326" s="1">
        <v>45886</v>
      </c>
      <c r="F1326" s="4">
        <v>54315</v>
      </c>
      <c r="G1326" s="4">
        <v>377544</v>
      </c>
      <c r="H1326" s="2">
        <v>2147</v>
      </c>
      <c r="I1326" s="16">
        <v>19</v>
      </c>
      <c r="J1326" s="1">
        <v>45905</v>
      </c>
      <c r="K1326" s="3">
        <v>0.1439</v>
      </c>
      <c r="L1326" s="13">
        <f t="shared" si="43"/>
        <v>5.6867543915411183</v>
      </c>
      <c r="M1326" s="16">
        <f t="shared" si="44"/>
        <v>2858.6842105263158</v>
      </c>
    </row>
    <row r="1327" spans="1:13" x14ac:dyDescent="0.3">
      <c r="A1327">
        <v>101325</v>
      </c>
      <c r="B1327" t="s">
        <v>10</v>
      </c>
      <c r="C1327" t="s">
        <v>11</v>
      </c>
      <c r="D1327" t="s">
        <v>17</v>
      </c>
      <c r="E1327" s="1">
        <v>45887</v>
      </c>
      <c r="F1327" s="4">
        <v>19830</v>
      </c>
      <c r="G1327" s="4">
        <v>915498</v>
      </c>
      <c r="H1327" s="2">
        <v>2489</v>
      </c>
      <c r="I1327" s="16">
        <v>20</v>
      </c>
      <c r="J1327" s="1">
        <v>45907</v>
      </c>
      <c r="K1327" s="3">
        <v>2.1700000000000001E-2</v>
      </c>
      <c r="L1327" s="13">
        <f t="shared" si="43"/>
        <v>2.7187388721766732</v>
      </c>
      <c r="M1327" s="16">
        <f t="shared" si="44"/>
        <v>991.5</v>
      </c>
    </row>
    <row r="1328" spans="1:13" x14ac:dyDescent="0.3">
      <c r="A1328">
        <v>101326</v>
      </c>
      <c r="B1328" t="s">
        <v>18</v>
      </c>
      <c r="C1328" t="s">
        <v>21</v>
      </c>
      <c r="D1328" t="s">
        <v>17</v>
      </c>
      <c r="E1328" s="1">
        <v>45888</v>
      </c>
      <c r="F1328" s="4">
        <v>97320</v>
      </c>
      <c r="G1328" s="4">
        <v>886719</v>
      </c>
      <c r="H1328" s="2">
        <v>3851</v>
      </c>
      <c r="I1328" s="16">
        <v>27</v>
      </c>
      <c r="J1328" s="1">
        <v>45915</v>
      </c>
      <c r="K1328" s="3">
        <v>0.10979999999999999</v>
      </c>
      <c r="L1328" s="13">
        <f t="shared" si="43"/>
        <v>4.3429767491166871</v>
      </c>
      <c r="M1328" s="16">
        <f t="shared" si="44"/>
        <v>3604.4444444444443</v>
      </c>
    </row>
    <row r="1329" spans="1:13" x14ac:dyDescent="0.3">
      <c r="A1329">
        <v>101327</v>
      </c>
      <c r="B1329" t="s">
        <v>13</v>
      </c>
      <c r="C1329" t="s">
        <v>20</v>
      </c>
      <c r="D1329" t="s">
        <v>15</v>
      </c>
      <c r="E1329" s="1">
        <v>45889</v>
      </c>
      <c r="F1329" s="4">
        <v>17326</v>
      </c>
      <c r="G1329" s="4">
        <v>910324</v>
      </c>
      <c r="H1329" s="2">
        <v>1023</v>
      </c>
      <c r="I1329" s="16">
        <v>18</v>
      </c>
      <c r="J1329" s="1">
        <v>45907</v>
      </c>
      <c r="K1329" s="3">
        <v>1.9E-2</v>
      </c>
      <c r="L1329" s="13">
        <f t="shared" si="43"/>
        <v>1.1237757106261068</v>
      </c>
      <c r="M1329" s="16">
        <f t="shared" si="44"/>
        <v>962.55555555555554</v>
      </c>
    </row>
    <row r="1330" spans="1:13" x14ac:dyDescent="0.3">
      <c r="A1330">
        <v>101328</v>
      </c>
      <c r="B1330" t="s">
        <v>18</v>
      </c>
      <c r="C1330" t="s">
        <v>20</v>
      </c>
      <c r="D1330" t="s">
        <v>22</v>
      </c>
      <c r="E1330" s="1">
        <v>45890</v>
      </c>
      <c r="F1330" s="4">
        <v>17362</v>
      </c>
      <c r="G1330" s="4">
        <v>727947</v>
      </c>
      <c r="H1330" s="2">
        <v>1143</v>
      </c>
      <c r="I1330" s="16">
        <v>20</v>
      </c>
      <c r="J1330" s="1">
        <v>45910</v>
      </c>
      <c r="K1330" s="3">
        <v>2.3900000000000001E-2</v>
      </c>
      <c r="L1330" s="13">
        <f t="shared" si="43"/>
        <v>1.5701692568277636</v>
      </c>
      <c r="M1330" s="16">
        <f t="shared" si="44"/>
        <v>868.1</v>
      </c>
    </row>
    <row r="1331" spans="1:13" x14ac:dyDescent="0.3">
      <c r="A1331">
        <v>101329</v>
      </c>
      <c r="B1331" t="s">
        <v>18</v>
      </c>
      <c r="C1331" t="s">
        <v>11</v>
      </c>
      <c r="D1331" t="s">
        <v>22</v>
      </c>
      <c r="E1331" s="1">
        <v>45891</v>
      </c>
      <c r="F1331" s="4">
        <v>86977</v>
      </c>
      <c r="G1331" s="4">
        <v>434469</v>
      </c>
      <c r="H1331" s="2">
        <v>3798</v>
      </c>
      <c r="I1331" s="16">
        <v>21</v>
      </c>
      <c r="J1331" s="1">
        <v>45912</v>
      </c>
      <c r="K1331" s="3">
        <v>0.20019999999999999</v>
      </c>
      <c r="L1331" s="13">
        <f t="shared" si="43"/>
        <v>8.7417053920993215</v>
      </c>
      <c r="M1331" s="16">
        <f t="shared" si="44"/>
        <v>4141.7619047619046</v>
      </c>
    </row>
    <row r="1332" spans="1:13" x14ac:dyDescent="0.3">
      <c r="A1332">
        <v>101330</v>
      </c>
      <c r="B1332" t="s">
        <v>10</v>
      </c>
      <c r="C1332" t="s">
        <v>25</v>
      </c>
      <c r="D1332" t="s">
        <v>17</v>
      </c>
      <c r="E1332" s="1">
        <v>45892</v>
      </c>
      <c r="F1332" s="4">
        <v>24964</v>
      </c>
      <c r="G1332" s="4">
        <v>900211</v>
      </c>
      <c r="H1332" s="2">
        <v>619</v>
      </c>
      <c r="I1332" s="16">
        <v>28</v>
      </c>
      <c r="J1332" s="1">
        <v>45920</v>
      </c>
      <c r="K1332" s="3">
        <v>2.7699999999999999E-2</v>
      </c>
      <c r="L1332" s="13">
        <f t="shared" si="43"/>
        <v>0.6876165698930583</v>
      </c>
      <c r="M1332" s="16">
        <f t="shared" si="44"/>
        <v>891.57142857142856</v>
      </c>
    </row>
    <row r="1333" spans="1:13" x14ac:dyDescent="0.3">
      <c r="A1333">
        <v>101331</v>
      </c>
      <c r="B1333" t="s">
        <v>13</v>
      </c>
      <c r="C1333" t="s">
        <v>16</v>
      </c>
      <c r="D1333" t="s">
        <v>15</v>
      </c>
      <c r="E1333" s="1">
        <v>45893</v>
      </c>
      <c r="F1333" s="4">
        <v>3611</v>
      </c>
      <c r="G1333" s="4">
        <v>748405</v>
      </c>
      <c r="H1333" s="2">
        <v>1649</v>
      </c>
      <c r="I1333" s="16">
        <v>8</v>
      </c>
      <c r="J1333" s="1">
        <v>45901</v>
      </c>
      <c r="K1333" s="3">
        <v>4.7999999999999996E-3</v>
      </c>
      <c r="L1333" s="13">
        <f t="shared" si="43"/>
        <v>2.2033524629044434</v>
      </c>
      <c r="M1333" s="16">
        <f t="shared" si="44"/>
        <v>451.375</v>
      </c>
    </row>
    <row r="1334" spans="1:13" x14ac:dyDescent="0.3">
      <c r="A1334">
        <v>101332</v>
      </c>
      <c r="B1334" t="s">
        <v>13</v>
      </c>
      <c r="C1334" t="s">
        <v>16</v>
      </c>
      <c r="D1334" t="s">
        <v>12</v>
      </c>
      <c r="E1334" s="1">
        <v>45894</v>
      </c>
      <c r="F1334" s="4">
        <v>72293</v>
      </c>
      <c r="G1334" s="4">
        <v>353912</v>
      </c>
      <c r="H1334" s="2">
        <v>4586</v>
      </c>
      <c r="I1334" s="16">
        <v>15</v>
      </c>
      <c r="J1334" s="1">
        <v>45909</v>
      </c>
      <c r="K1334" s="3">
        <v>0.20430000000000001</v>
      </c>
      <c r="L1334" s="13">
        <f t="shared" si="43"/>
        <v>12.958023463459842</v>
      </c>
      <c r="M1334" s="16">
        <f t="shared" si="44"/>
        <v>4819.5333333333338</v>
      </c>
    </row>
    <row r="1335" spans="1:13" x14ac:dyDescent="0.3">
      <c r="A1335">
        <v>101333</v>
      </c>
      <c r="B1335" t="s">
        <v>19</v>
      </c>
      <c r="C1335" t="s">
        <v>20</v>
      </c>
      <c r="D1335" t="s">
        <v>24</v>
      </c>
      <c r="E1335" s="1">
        <v>45895</v>
      </c>
      <c r="F1335" s="4">
        <v>79105</v>
      </c>
      <c r="G1335" s="4">
        <v>308261</v>
      </c>
      <c r="H1335" s="2">
        <v>2452</v>
      </c>
      <c r="I1335" s="16">
        <v>19</v>
      </c>
      <c r="J1335" s="1">
        <v>45914</v>
      </c>
      <c r="K1335" s="3">
        <v>0.25659999999999999</v>
      </c>
      <c r="L1335" s="13">
        <f t="shared" si="43"/>
        <v>7.9542984678567832</v>
      </c>
      <c r="M1335" s="16">
        <f t="shared" si="44"/>
        <v>4163.4210526315792</v>
      </c>
    </row>
    <row r="1336" spans="1:13" x14ac:dyDescent="0.3">
      <c r="A1336">
        <v>101334</v>
      </c>
      <c r="B1336" t="s">
        <v>19</v>
      </c>
      <c r="C1336" t="s">
        <v>21</v>
      </c>
      <c r="D1336" t="s">
        <v>22</v>
      </c>
      <c r="E1336" s="1">
        <v>45896</v>
      </c>
      <c r="F1336" s="4">
        <v>23008</v>
      </c>
      <c r="G1336" s="4">
        <v>294990</v>
      </c>
      <c r="H1336" s="2">
        <v>3249</v>
      </c>
      <c r="I1336" s="16">
        <v>3</v>
      </c>
      <c r="J1336" s="1">
        <v>45899</v>
      </c>
      <c r="K1336" s="3">
        <v>7.8E-2</v>
      </c>
      <c r="L1336" s="13">
        <f t="shared" si="43"/>
        <v>11.01393267568392</v>
      </c>
      <c r="M1336" s="16">
        <f t="shared" si="44"/>
        <v>7669.333333333333</v>
      </c>
    </row>
    <row r="1337" spans="1:13" x14ac:dyDescent="0.3">
      <c r="A1337">
        <v>101335</v>
      </c>
      <c r="B1337" t="s">
        <v>10</v>
      </c>
      <c r="C1337" t="s">
        <v>21</v>
      </c>
      <c r="D1337" t="s">
        <v>24</v>
      </c>
      <c r="E1337" s="1">
        <v>45897</v>
      </c>
      <c r="F1337" s="4">
        <v>33481</v>
      </c>
      <c r="G1337" s="4">
        <v>250162</v>
      </c>
      <c r="H1337" s="2">
        <v>3089</v>
      </c>
      <c r="I1337" s="16">
        <v>23</v>
      </c>
      <c r="J1337" s="1">
        <v>45920</v>
      </c>
      <c r="K1337" s="3">
        <v>0.1338</v>
      </c>
      <c r="L1337" s="13">
        <f t="shared" si="43"/>
        <v>12.347998496973961</v>
      </c>
      <c r="M1337" s="16">
        <f t="shared" si="44"/>
        <v>1455.695652173913</v>
      </c>
    </row>
  </sheetData>
  <autoFilter ref="A1:M1" xr:uid="{7E574358-B6CE-48DE-9468-7251B90F3A4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2A332-91D7-469A-8501-4CFA1611325A}">
  <sheetPr>
    <tabColor rgb="FF92D050"/>
  </sheetPr>
  <dimension ref="A1:X47"/>
  <sheetViews>
    <sheetView workbookViewId="0">
      <selection activeCell="S33" sqref="S33"/>
    </sheetView>
  </sheetViews>
  <sheetFormatPr defaultRowHeight="14.4" x14ac:dyDescent="0.3"/>
  <cols>
    <col min="1" max="1" width="12.44140625" bestFit="1" customWidth="1"/>
    <col min="2" max="2" width="18.6640625" bestFit="1" customWidth="1"/>
    <col min="3" max="3" width="24.33203125" bestFit="1" customWidth="1"/>
    <col min="6" max="7" width="8.88671875" customWidth="1"/>
    <col min="9" max="9" width="18.21875" bestFit="1" customWidth="1"/>
    <col min="10" max="10" width="21" bestFit="1" customWidth="1"/>
    <col min="11" max="11" width="18.6640625" bestFit="1" customWidth="1"/>
    <col min="12" max="12" width="12.44140625" bestFit="1" customWidth="1"/>
    <col min="13" max="13" width="18.6640625" bestFit="1" customWidth="1"/>
    <col min="14" max="14" width="24.44140625" bestFit="1" customWidth="1"/>
    <col min="15" max="15" width="18.6640625" bestFit="1" customWidth="1"/>
    <col min="16" max="16" width="12.44140625" bestFit="1" customWidth="1"/>
    <col min="17" max="17" width="24.44140625" bestFit="1" customWidth="1"/>
    <col min="18" max="18" width="27.5546875" bestFit="1" customWidth="1"/>
    <col min="19" max="19" width="27.5546875" customWidth="1"/>
    <col min="20" max="20" width="12.44140625" bestFit="1" customWidth="1"/>
    <col min="21" max="21" width="24.109375" bestFit="1" customWidth="1"/>
    <col min="22" max="22" width="21" bestFit="1" customWidth="1"/>
    <col min="23" max="24" width="24.33203125" bestFit="1" customWidth="1"/>
    <col min="25" max="25" width="18.21875" bestFit="1" customWidth="1"/>
    <col min="26" max="26" width="18.6640625" bestFit="1" customWidth="1"/>
    <col min="27" max="27" width="18.21875" bestFit="1" customWidth="1"/>
    <col min="28" max="28" width="18.6640625" bestFit="1" customWidth="1"/>
    <col min="29" max="29" width="18.21875" bestFit="1" customWidth="1"/>
    <col min="30" max="30" width="18.6640625" bestFit="1" customWidth="1"/>
    <col min="31" max="31" width="18.21875" bestFit="1" customWidth="1"/>
    <col min="32" max="32" width="18.6640625" bestFit="1" customWidth="1"/>
    <col min="33" max="33" width="18.21875" bestFit="1" customWidth="1"/>
    <col min="34" max="34" width="18.6640625" bestFit="1" customWidth="1"/>
    <col min="35" max="35" width="18.21875" bestFit="1" customWidth="1"/>
    <col min="36" max="36" width="18.6640625" bestFit="1" customWidth="1"/>
    <col min="37" max="37" width="18.21875" bestFit="1" customWidth="1"/>
    <col min="38" max="38" width="23.21875" bestFit="1" customWidth="1"/>
    <col min="39" max="39" width="22.77734375" bestFit="1" customWidth="1"/>
    <col min="40" max="72" width="27.6640625" bestFit="1" customWidth="1"/>
    <col min="73" max="73" width="32.109375" bestFit="1" customWidth="1"/>
    <col min="74" max="74" width="32.21875" bestFit="1" customWidth="1"/>
  </cols>
  <sheetData>
    <row r="1" spans="1:24" ht="14.4" customHeight="1" x14ac:dyDescent="0.3">
      <c r="A1" s="23" t="s">
        <v>61</v>
      </c>
      <c r="B1" s="23"/>
      <c r="C1" s="23"/>
      <c r="D1" s="23"/>
      <c r="E1" s="23"/>
      <c r="F1" s="23"/>
      <c r="G1" s="23"/>
      <c r="I1" s="23" t="s">
        <v>62</v>
      </c>
      <c r="J1" s="23"/>
      <c r="K1" s="11"/>
      <c r="L1" s="23" t="s">
        <v>63</v>
      </c>
      <c r="M1" s="23"/>
      <c r="N1" s="12"/>
      <c r="P1" s="23" t="s">
        <v>65</v>
      </c>
      <c r="Q1" s="24"/>
      <c r="R1" s="24"/>
      <c r="S1" s="10"/>
      <c r="T1" s="23" t="s">
        <v>67</v>
      </c>
      <c r="U1" s="23"/>
      <c r="V1" s="23"/>
      <c r="W1" s="23"/>
      <c r="X1" s="19"/>
    </row>
    <row r="2" spans="1:24" ht="14.4" customHeight="1" x14ac:dyDescent="0.3">
      <c r="A2" s="23"/>
      <c r="B2" s="23"/>
      <c r="C2" s="23"/>
      <c r="D2" s="23"/>
      <c r="E2" s="23"/>
      <c r="F2" s="23"/>
      <c r="G2" s="23"/>
      <c r="I2" s="23"/>
      <c r="J2" s="23"/>
      <c r="K2" s="11"/>
      <c r="L2" s="23"/>
      <c r="M2" s="23"/>
      <c r="N2" s="12"/>
      <c r="P2" s="24"/>
      <c r="Q2" s="24"/>
      <c r="R2" s="24"/>
      <c r="S2" s="10"/>
      <c r="T2" s="23"/>
      <c r="U2" s="23"/>
      <c r="V2" s="23"/>
      <c r="W2" s="23"/>
      <c r="X2" s="19"/>
    </row>
    <row r="3" spans="1:24" ht="14.4" customHeight="1" x14ac:dyDescent="0.3">
      <c r="A3" s="23"/>
      <c r="B3" s="23"/>
      <c r="C3" s="23"/>
      <c r="D3" s="23"/>
      <c r="E3" s="23"/>
      <c r="F3" s="23"/>
      <c r="G3" s="23"/>
      <c r="I3" s="23"/>
      <c r="J3" s="23"/>
      <c r="K3" s="11"/>
      <c r="L3" s="23"/>
      <c r="M3" s="23"/>
      <c r="N3" s="12"/>
      <c r="P3" s="24"/>
      <c r="Q3" s="24"/>
      <c r="R3" s="24"/>
      <c r="S3" s="10"/>
      <c r="T3" s="23"/>
      <c r="U3" s="23"/>
      <c r="V3" s="23"/>
      <c r="W3" s="23"/>
      <c r="X3" s="19"/>
    </row>
    <row r="4" spans="1:24" x14ac:dyDescent="0.3">
      <c r="A4" s="6" t="s">
        <v>27</v>
      </c>
      <c r="B4" t="s">
        <v>29</v>
      </c>
      <c r="C4" t="s">
        <v>30</v>
      </c>
      <c r="I4" s="6" t="s">
        <v>27</v>
      </c>
      <c r="J4" t="s">
        <v>31</v>
      </c>
      <c r="L4" s="6" t="s">
        <v>27</v>
      </c>
      <c r="M4" t="s">
        <v>33</v>
      </c>
      <c r="P4" s="6" t="s">
        <v>27</v>
      </c>
      <c r="Q4" t="s">
        <v>37</v>
      </c>
      <c r="R4" t="s">
        <v>36</v>
      </c>
      <c r="T4" s="6" t="s">
        <v>27</v>
      </c>
      <c r="U4" t="s">
        <v>60</v>
      </c>
      <c r="V4" t="s">
        <v>59</v>
      </c>
      <c r="W4" t="s">
        <v>30</v>
      </c>
    </row>
    <row r="5" spans="1:24" x14ac:dyDescent="0.3">
      <c r="A5" s="7" t="s">
        <v>20</v>
      </c>
      <c r="B5" s="2">
        <v>464411</v>
      </c>
      <c r="C5" s="3">
        <v>0.26555075376884429</v>
      </c>
      <c r="I5" s="7" t="s">
        <v>20</v>
      </c>
      <c r="J5" s="25">
        <v>199</v>
      </c>
      <c r="L5" s="7" t="s">
        <v>18</v>
      </c>
      <c r="M5" s="25">
        <v>536</v>
      </c>
      <c r="P5" s="7" t="s">
        <v>20</v>
      </c>
      <c r="Q5" s="18">
        <v>21.301931468002412</v>
      </c>
      <c r="R5" s="4">
        <v>7520.4489820030685</v>
      </c>
      <c r="T5" s="7" t="s">
        <v>18</v>
      </c>
      <c r="U5" s="4">
        <v>523284.38432835822</v>
      </c>
      <c r="V5" s="4">
        <v>50226.828358208957</v>
      </c>
      <c r="W5" s="3">
        <v>0.2712408582089551</v>
      </c>
    </row>
    <row r="6" spans="1:24" x14ac:dyDescent="0.3">
      <c r="A6" s="8" t="s">
        <v>13</v>
      </c>
      <c r="B6" s="2">
        <v>148233</v>
      </c>
      <c r="C6" s="3">
        <v>0.2485222222222222</v>
      </c>
      <c r="I6" s="8" t="s">
        <v>15</v>
      </c>
      <c r="J6" s="25">
        <v>52</v>
      </c>
      <c r="L6" s="7" t="s">
        <v>10</v>
      </c>
      <c r="M6" s="25">
        <v>272</v>
      </c>
      <c r="P6" s="7" t="s">
        <v>25</v>
      </c>
      <c r="Q6" s="18">
        <v>17.650579201200028</v>
      </c>
      <c r="R6" s="4">
        <v>5243.4762503930015</v>
      </c>
      <c r="T6" s="7" t="s">
        <v>10</v>
      </c>
      <c r="U6" s="4">
        <v>485537.36029411765</v>
      </c>
      <c r="V6" s="4">
        <v>50936.242647058825</v>
      </c>
      <c r="W6" s="3">
        <v>0.41138455882352942</v>
      </c>
    </row>
    <row r="7" spans="1:24" x14ac:dyDescent="0.3">
      <c r="A7" s="8" t="s">
        <v>18</v>
      </c>
      <c r="B7" s="2">
        <v>140378</v>
      </c>
      <c r="C7" s="3">
        <v>0.29338999999999998</v>
      </c>
      <c r="I7" s="8" t="s">
        <v>12</v>
      </c>
      <c r="J7" s="25">
        <v>46</v>
      </c>
      <c r="L7" s="7" t="s">
        <v>19</v>
      </c>
      <c r="M7" s="25">
        <v>131</v>
      </c>
      <c r="P7" s="7" t="s">
        <v>11</v>
      </c>
      <c r="Q7" s="18">
        <v>18.154690941483668</v>
      </c>
      <c r="R7" s="4">
        <v>5055.1388035503624</v>
      </c>
      <c r="T7" s="7" t="s">
        <v>19</v>
      </c>
      <c r="U7" s="4">
        <v>475567.61068702291</v>
      </c>
      <c r="V7" s="4">
        <v>44545.725190839694</v>
      </c>
      <c r="W7" s="3">
        <v>0.46263053435114498</v>
      </c>
    </row>
    <row r="8" spans="1:24" x14ac:dyDescent="0.3">
      <c r="A8" s="8" t="s">
        <v>10</v>
      </c>
      <c r="B8" s="2">
        <v>125250</v>
      </c>
      <c r="C8" s="3">
        <v>0.23146521739130427</v>
      </c>
      <c r="I8" s="8" t="s">
        <v>22</v>
      </c>
      <c r="J8" s="25">
        <v>37</v>
      </c>
      <c r="L8" s="7" t="s">
        <v>13</v>
      </c>
      <c r="M8" s="25">
        <v>397</v>
      </c>
      <c r="P8" s="7" t="s">
        <v>14</v>
      </c>
      <c r="Q8" s="18">
        <v>13.918370717027239</v>
      </c>
      <c r="R8" s="4">
        <v>7478.3856543034181</v>
      </c>
      <c r="T8" s="7" t="s">
        <v>13</v>
      </c>
      <c r="U8" s="4">
        <v>492377.6473551637</v>
      </c>
      <c r="V8" s="4">
        <v>49115.357682619644</v>
      </c>
      <c r="W8" s="3">
        <v>0.23377506297229236</v>
      </c>
    </row>
    <row r="9" spans="1:24" x14ac:dyDescent="0.3">
      <c r="A9" s="8" t="s">
        <v>19</v>
      </c>
      <c r="B9" s="2">
        <v>50550</v>
      </c>
      <c r="C9" s="3">
        <v>0.30015000000000003</v>
      </c>
      <c r="I9" s="8" t="s">
        <v>24</v>
      </c>
      <c r="J9" s="25">
        <v>33</v>
      </c>
      <c r="L9" s="7" t="s">
        <v>28</v>
      </c>
      <c r="M9" s="25">
        <v>1336</v>
      </c>
      <c r="P9" s="7" t="s">
        <v>23</v>
      </c>
      <c r="Q9" s="18">
        <v>13.645835601210484</v>
      </c>
      <c r="R9" s="4">
        <v>6825.0677592166448</v>
      </c>
      <c r="T9" s="7" t="s">
        <v>28</v>
      </c>
      <c r="U9" s="4">
        <v>501736.43338323355</v>
      </c>
      <c r="V9" s="4">
        <v>49483.92589820359</v>
      </c>
      <c r="W9" s="3">
        <v>0.3074064371257485</v>
      </c>
    </row>
    <row r="10" spans="1:24" x14ac:dyDescent="0.3">
      <c r="A10" s="7" t="s">
        <v>25</v>
      </c>
      <c r="B10" s="2">
        <v>463775</v>
      </c>
      <c r="C10" s="3">
        <v>0.32130160427807464</v>
      </c>
      <c r="I10" s="8" t="s">
        <v>17</v>
      </c>
      <c r="J10" s="25">
        <v>31</v>
      </c>
      <c r="P10" s="7" t="s">
        <v>21</v>
      </c>
      <c r="Q10" s="18">
        <v>12.234956303551789</v>
      </c>
      <c r="R10" s="4">
        <v>7155.5283953108092</v>
      </c>
    </row>
    <row r="11" spans="1:24" ht="14.4" customHeight="1" x14ac:dyDescent="0.3">
      <c r="A11" s="8" t="s">
        <v>18</v>
      </c>
      <c r="B11" s="2">
        <v>204164</v>
      </c>
      <c r="C11" s="3">
        <v>0.12815421686746986</v>
      </c>
      <c r="I11" s="7" t="s">
        <v>25</v>
      </c>
      <c r="J11" s="25">
        <v>187</v>
      </c>
      <c r="L11" s="23" t="s">
        <v>64</v>
      </c>
      <c r="M11" s="23"/>
      <c r="N11" s="14"/>
      <c r="P11" s="7" t="s">
        <v>16</v>
      </c>
      <c r="Q11" s="18">
        <v>17.235886248225686</v>
      </c>
      <c r="R11" s="4">
        <v>5868.0061825445346</v>
      </c>
    </row>
    <row r="12" spans="1:24" ht="14.4" customHeight="1" x14ac:dyDescent="0.3">
      <c r="A12" s="8" t="s">
        <v>13</v>
      </c>
      <c r="B12" s="2">
        <v>145598</v>
      </c>
      <c r="C12" s="3">
        <v>0.2419763636363636</v>
      </c>
      <c r="I12" s="8" t="s">
        <v>22</v>
      </c>
      <c r="J12" s="25">
        <v>46</v>
      </c>
      <c r="L12" s="23"/>
      <c r="M12" s="23"/>
      <c r="N12" s="14"/>
      <c r="P12" s="7" t="s">
        <v>28</v>
      </c>
      <c r="Q12" s="18">
        <v>16.387613191540659</v>
      </c>
      <c r="R12" s="4">
        <v>6449.9695005260537</v>
      </c>
    </row>
    <row r="13" spans="1:24" ht="14.4" customHeight="1" x14ac:dyDescent="0.3">
      <c r="A13" s="8" t="s">
        <v>10</v>
      </c>
      <c r="B13" s="2">
        <v>83067</v>
      </c>
      <c r="C13" s="3">
        <v>0.11993333333333332</v>
      </c>
      <c r="I13" s="8" t="s">
        <v>12</v>
      </c>
      <c r="J13" s="25">
        <v>42</v>
      </c>
      <c r="L13" s="23"/>
      <c r="M13" s="23"/>
      <c r="N13" s="14"/>
    </row>
    <row r="14" spans="1:24" ht="18" x14ac:dyDescent="0.3">
      <c r="A14" s="8" t="s">
        <v>19</v>
      </c>
      <c r="B14" s="2">
        <v>30946</v>
      </c>
      <c r="C14" s="3">
        <v>2.4477153846153845</v>
      </c>
      <c r="I14" s="8" t="s">
        <v>17</v>
      </c>
      <c r="J14" s="25">
        <v>37</v>
      </c>
      <c r="L14" s="6" t="s">
        <v>27</v>
      </c>
      <c r="M14" t="s">
        <v>29</v>
      </c>
      <c r="P14" s="23" t="s">
        <v>66</v>
      </c>
      <c r="Q14" s="23"/>
      <c r="R14" s="19"/>
      <c r="S14" s="9"/>
    </row>
    <row r="15" spans="1:24" ht="18" x14ac:dyDescent="0.3">
      <c r="A15" s="7" t="s">
        <v>11</v>
      </c>
      <c r="B15" s="2">
        <v>479180</v>
      </c>
      <c r="C15" s="3">
        <v>0.48375329949238555</v>
      </c>
      <c r="I15" s="8" t="s">
        <v>15</v>
      </c>
      <c r="J15" s="25">
        <v>33</v>
      </c>
      <c r="L15" s="7" t="s">
        <v>38</v>
      </c>
      <c r="M15" s="2">
        <v>911103</v>
      </c>
      <c r="P15" s="23"/>
      <c r="Q15" s="23"/>
      <c r="R15" s="19"/>
      <c r="S15" s="9"/>
    </row>
    <row r="16" spans="1:24" ht="18" x14ac:dyDescent="0.3">
      <c r="A16" s="8" t="s">
        <v>18</v>
      </c>
      <c r="B16" s="2">
        <v>186379</v>
      </c>
      <c r="C16" s="3">
        <v>0.3383613333333334</v>
      </c>
      <c r="I16" s="8" t="s">
        <v>24</v>
      </c>
      <c r="J16" s="25">
        <v>29</v>
      </c>
      <c r="L16" s="8" t="s">
        <v>42</v>
      </c>
      <c r="M16" s="2">
        <v>216818</v>
      </c>
      <c r="P16" s="23"/>
      <c r="Q16" s="23"/>
      <c r="R16" s="19"/>
      <c r="S16" s="9"/>
    </row>
    <row r="17" spans="1:21" x14ac:dyDescent="0.3">
      <c r="A17" s="8" t="s">
        <v>13</v>
      </c>
      <c r="B17" s="2">
        <v>157450</v>
      </c>
      <c r="C17" s="3">
        <v>0.18733125</v>
      </c>
      <c r="I17" s="7" t="s">
        <v>11</v>
      </c>
      <c r="J17" s="25">
        <v>197</v>
      </c>
      <c r="L17" s="8" t="s">
        <v>43</v>
      </c>
      <c r="M17" s="2">
        <v>232907</v>
      </c>
      <c r="P17" s="6" t="s">
        <v>27</v>
      </c>
      <c r="Q17" t="s">
        <v>29</v>
      </c>
    </row>
    <row r="18" spans="1:21" x14ac:dyDescent="0.3">
      <c r="A18" s="8" t="s">
        <v>10</v>
      </c>
      <c r="B18" s="2">
        <v>69055</v>
      </c>
      <c r="C18" s="3">
        <v>1.6355529411764707</v>
      </c>
      <c r="I18" s="8" t="s">
        <v>15</v>
      </c>
      <c r="J18" s="25">
        <v>44</v>
      </c>
      <c r="L18" s="8" t="s">
        <v>44</v>
      </c>
      <c r="M18" s="2">
        <v>230679</v>
      </c>
      <c r="P18" s="7" t="s">
        <v>52</v>
      </c>
      <c r="Q18" s="2">
        <v>319732</v>
      </c>
      <c r="S18" s="4"/>
    </row>
    <row r="19" spans="1:21" x14ac:dyDescent="0.3">
      <c r="A19" s="8" t="s">
        <v>19</v>
      </c>
      <c r="B19" s="2">
        <v>66296</v>
      </c>
      <c r="C19" s="3">
        <v>9.6845833333333367E-2</v>
      </c>
      <c r="I19" s="8" t="s">
        <v>22</v>
      </c>
      <c r="J19" s="25">
        <v>40</v>
      </c>
      <c r="L19" s="8" t="s">
        <v>45</v>
      </c>
      <c r="M19" s="2">
        <v>230699</v>
      </c>
      <c r="P19" s="7" t="s">
        <v>53</v>
      </c>
      <c r="Q19" s="2">
        <v>308081</v>
      </c>
      <c r="S19" s="4"/>
    </row>
    <row r="20" spans="1:21" x14ac:dyDescent="0.3">
      <c r="A20" s="7" t="s">
        <v>14</v>
      </c>
      <c r="B20" s="2">
        <v>491688</v>
      </c>
      <c r="C20" s="3">
        <v>0.2669906403940886</v>
      </c>
      <c r="I20" s="8" t="s">
        <v>24</v>
      </c>
      <c r="J20" s="25">
        <v>39</v>
      </c>
      <c r="L20" s="7" t="s">
        <v>39</v>
      </c>
      <c r="M20" s="2">
        <v>850364</v>
      </c>
      <c r="P20" s="7" t="s">
        <v>48</v>
      </c>
      <c r="Q20" s="2">
        <v>302667</v>
      </c>
      <c r="S20" s="4"/>
    </row>
    <row r="21" spans="1:21" x14ac:dyDescent="0.3">
      <c r="A21" s="8" t="s">
        <v>18</v>
      </c>
      <c r="B21" s="2">
        <v>179586</v>
      </c>
      <c r="C21" s="3">
        <v>0.31625070422535217</v>
      </c>
      <c r="I21" s="8" t="s">
        <v>12</v>
      </c>
      <c r="J21" s="25">
        <v>39</v>
      </c>
      <c r="L21" s="8" t="s">
        <v>42</v>
      </c>
      <c r="M21" s="2">
        <v>196013</v>
      </c>
      <c r="P21" s="7" t="s">
        <v>50</v>
      </c>
      <c r="Q21" s="2">
        <v>302342</v>
      </c>
      <c r="S21" s="4"/>
    </row>
    <row r="22" spans="1:21" x14ac:dyDescent="0.3">
      <c r="A22" s="8" t="s">
        <v>13</v>
      </c>
      <c r="B22" s="2">
        <v>165224</v>
      </c>
      <c r="C22" s="3">
        <v>0.26784285714285716</v>
      </c>
      <c r="I22" s="8" t="s">
        <v>17</v>
      </c>
      <c r="J22" s="25">
        <v>35</v>
      </c>
      <c r="L22" s="8" t="s">
        <v>43</v>
      </c>
      <c r="M22" s="2">
        <v>188865</v>
      </c>
      <c r="P22" s="7" t="s">
        <v>47</v>
      </c>
      <c r="Q22" s="2">
        <v>282335</v>
      </c>
      <c r="S22" s="4"/>
    </row>
    <row r="23" spans="1:21" x14ac:dyDescent="0.3">
      <c r="A23" s="8" t="s">
        <v>10</v>
      </c>
      <c r="B23" s="2">
        <v>92077</v>
      </c>
      <c r="C23" s="3">
        <v>0.21479749999999997</v>
      </c>
      <c r="I23" s="7" t="s">
        <v>14</v>
      </c>
      <c r="J23" s="25">
        <v>203</v>
      </c>
      <c r="L23" s="8" t="s">
        <v>44</v>
      </c>
      <c r="M23" s="2">
        <v>227638</v>
      </c>
      <c r="P23" s="7" t="s">
        <v>51</v>
      </c>
      <c r="Q23" s="2">
        <v>282121</v>
      </c>
      <c r="S23" s="4"/>
    </row>
    <row r="24" spans="1:21" x14ac:dyDescent="0.3">
      <c r="A24" s="8" t="s">
        <v>19</v>
      </c>
      <c r="B24" s="2">
        <v>54801</v>
      </c>
      <c r="C24" s="3">
        <v>0.20020000000000004</v>
      </c>
      <c r="I24" s="8" t="s">
        <v>15</v>
      </c>
      <c r="J24" s="25">
        <v>46</v>
      </c>
      <c r="L24" s="8" t="s">
        <v>45</v>
      </c>
      <c r="M24" s="2">
        <v>237848</v>
      </c>
      <c r="P24" s="7" t="s">
        <v>46</v>
      </c>
      <c r="Q24" s="2">
        <v>281617</v>
      </c>
      <c r="S24" s="4"/>
    </row>
    <row r="25" spans="1:21" x14ac:dyDescent="0.3">
      <c r="A25" s="7" t="s">
        <v>23</v>
      </c>
      <c r="B25" s="2">
        <v>412671</v>
      </c>
      <c r="C25" s="3">
        <v>0.20274848484848496</v>
      </c>
      <c r="I25" s="8" t="s">
        <v>24</v>
      </c>
      <c r="J25" s="25">
        <v>42</v>
      </c>
      <c r="L25" s="7" t="s">
        <v>40</v>
      </c>
      <c r="M25" s="2">
        <v>915930</v>
      </c>
      <c r="P25" s="7" t="s">
        <v>49</v>
      </c>
      <c r="Q25" s="2">
        <v>277965</v>
      </c>
      <c r="S25" s="4"/>
    </row>
    <row r="26" spans="1:21" x14ac:dyDescent="0.3">
      <c r="A26" s="8" t="s">
        <v>18</v>
      </c>
      <c r="B26" s="2">
        <v>176105</v>
      </c>
      <c r="C26" s="3">
        <v>0.1521529411764706</v>
      </c>
      <c r="I26" s="8" t="s">
        <v>17</v>
      </c>
      <c r="J26" s="25">
        <v>40</v>
      </c>
      <c r="L26" s="8" t="s">
        <v>42</v>
      </c>
      <c r="M26" s="2">
        <v>232149</v>
      </c>
      <c r="P26" s="7" t="s">
        <v>57</v>
      </c>
      <c r="Q26" s="2">
        <v>238165</v>
      </c>
      <c r="S26" s="4"/>
    </row>
    <row r="27" spans="1:21" x14ac:dyDescent="0.3">
      <c r="A27" s="8" t="s">
        <v>13</v>
      </c>
      <c r="B27" s="2">
        <v>112251</v>
      </c>
      <c r="C27" s="3">
        <v>0.30695714285714293</v>
      </c>
      <c r="I27" s="8" t="s">
        <v>12</v>
      </c>
      <c r="J27" s="25">
        <v>40</v>
      </c>
      <c r="L27" s="8" t="s">
        <v>43</v>
      </c>
      <c r="M27" s="2">
        <v>209559</v>
      </c>
      <c r="P27" s="7" t="s">
        <v>54</v>
      </c>
      <c r="Q27" s="2">
        <v>233522</v>
      </c>
      <c r="S27" s="4"/>
    </row>
    <row r="28" spans="1:21" x14ac:dyDescent="0.3">
      <c r="A28" s="8" t="s">
        <v>10</v>
      </c>
      <c r="B28" s="2">
        <v>76215</v>
      </c>
      <c r="C28" s="3">
        <v>0.18419333333333332</v>
      </c>
      <c r="I28" s="8" t="s">
        <v>22</v>
      </c>
      <c r="J28" s="25">
        <v>35</v>
      </c>
      <c r="L28" s="8" t="s">
        <v>44</v>
      </c>
      <c r="M28" s="2">
        <v>251394</v>
      </c>
      <c r="P28" s="7" t="s">
        <v>56</v>
      </c>
      <c r="Q28" s="2">
        <v>227096</v>
      </c>
      <c r="S28" s="4"/>
    </row>
    <row r="29" spans="1:21" x14ac:dyDescent="0.3">
      <c r="A29" s="8" t="s">
        <v>19</v>
      </c>
      <c r="B29" s="2">
        <v>48100</v>
      </c>
      <c r="C29" s="3">
        <v>0.14113333333333333</v>
      </c>
      <c r="I29" s="7" t="s">
        <v>23</v>
      </c>
      <c r="J29" s="25">
        <v>165</v>
      </c>
      <c r="L29" s="8" t="s">
        <v>45</v>
      </c>
      <c r="M29" s="2">
        <v>222828</v>
      </c>
      <c r="P29" s="7" t="s">
        <v>55</v>
      </c>
      <c r="Q29" s="2">
        <v>226114</v>
      </c>
      <c r="S29" s="4"/>
    </row>
    <row r="30" spans="1:21" x14ac:dyDescent="0.3">
      <c r="A30" s="7" t="s">
        <v>21</v>
      </c>
      <c r="B30" s="2">
        <v>477347</v>
      </c>
      <c r="C30" s="3">
        <v>0.2434048128342246</v>
      </c>
      <c r="I30" s="8" t="s">
        <v>17</v>
      </c>
      <c r="J30" s="25">
        <v>38</v>
      </c>
      <c r="L30" s="7" t="s">
        <v>41</v>
      </c>
      <c r="M30" s="2">
        <v>604360</v>
      </c>
      <c r="P30" s="7" t="s">
        <v>28</v>
      </c>
      <c r="Q30" s="2">
        <v>3281757</v>
      </c>
      <c r="S30" s="4"/>
    </row>
    <row r="31" spans="1:21" ht="14.4" customHeight="1" x14ac:dyDescent="0.3">
      <c r="A31" s="8" t="s">
        <v>18</v>
      </c>
      <c r="B31" s="2">
        <v>187171</v>
      </c>
      <c r="C31" s="3">
        <v>0.13940126582278489</v>
      </c>
      <c r="I31" s="8" t="s">
        <v>15</v>
      </c>
      <c r="J31" s="25">
        <v>37</v>
      </c>
      <c r="L31" s="8" t="s">
        <v>42</v>
      </c>
      <c r="M31" s="2">
        <v>221639</v>
      </c>
      <c r="T31" s="23" t="s">
        <v>69</v>
      </c>
      <c r="U31" s="23"/>
    </row>
    <row r="32" spans="1:21" ht="14.4" customHeight="1" x14ac:dyDescent="0.3">
      <c r="A32" s="8" t="s">
        <v>13</v>
      </c>
      <c r="B32" s="2">
        <v>125355</v>
      </c>
      <c r="C32" s="3">
        <v>0.18650444444444444</v>
      </c>
      <c r="I32" s="8" t="s">
        <v>24</v>
      </c>
      <c r="J32" s="25">
        <v>37</v>
      </c>
      <c r="L32" s="8" t="s">
        <v>43</v>
      </c>
      <c r="M32" s="2">
        <v>231097</v>
      </c>
      <c r="T32" s="23"/>
      <c r="U32" s="23"/>
    </row>
    <row r="33" spans="1:21" x14ac:dyDescent="0.3">
      <c r="A33" s="8" t="s">
        <v>10</v>
      </c>
      <c r="B33" s="2">
        <v>109946</v>
      </c>
      <c r="C33" s="3">
        <v>0.37091860465116294</v>
      </c>
      <c r="I33" s="8" t="s">
        <v>22</v>
      </c>
      <c r="J33" s="25">
        <v>28</v>
      </c>
      <c r="L33" s="8" t="s">
        <v>44</v>
      </c>
      <c r="M33" s="2">
        <v>151624</v>
      </c>
      <c r="P33" s="23" t="s">
        <v>68</v>
      </c>
      <c r="Q33" s="24"/>
      <c r="T33" s="23"/>
      <c r="U33" s="23"/>
    </row>
    <row r="34" spans="1:21" x14ac:dyDescent="0.3">
      <c r="A34" s="8" t="s">
        <v>19</v>
      </c>
      <c r="B34" s="2">
        <v>54875</v>
      </c>
      <c r="C34" s="3">
        <v>0.50809000000000004</v>
      </c>
      <c r="I34" s="8" t="s">
        <v>12</v>
      </c>
      <c r="J34" s="25">
        <v>25</v>
      </c>
      <c r="L34" s="7" t="s">
        <v>28</v>
      </c>
      <c r="M34" s="2">
        <v>3281757</v>
      </c>
      <c r="P34" s="24"/>
      <c r="Q34" s="24"/>
      <c r="T34" s="23"/>
      <c r="U34" s="23"/>
    </row>
    <row r="35" spans="1:21" x14ac:dyDescent="0.3">
      <c r="A35" s="7" t="s">
        <v>16</v>
      </c>
      <c r="B35" s="2">
        <v>492685</v>
      </c>
      <c r="C35" s="3">
        <v>0.34999141414141444</v>
      </c>
      <c r="I35" s="7" t="s">
        <v>21</v>
      </c>
      <c r="J35" s="25">
        <v>187</v>
      </c>
      <c r="P35" s="6" t="s">
        <v>27</v>
      </c>
      <c r="Q35" t="s">
        <v>32</v>
      </c>
      <c r="T35" t="s">
        <v>29</v>
      </c>
    </row>
    <row r="36" spans="1:21" x14ac:dyDescent="0.3">
      <c r="A36" s="8" t="s">
        <v>18</v>
      </c>
      <c r="B36" s="2">
        <v>240464</v>
      </c>
      <c r="C36" s="3">
        <v>0.50023333333333364</v>
      </c>
      <c r="I36" s="8" t="s">
        <v>17</v>
      </c>
      <c r="J36" s="25">
        <v>45</v>
      </c>
      <c r="P36" s="7" t="s">
        <v>14</v>
      </c>
      <c r="Q36" s="25">
        <v>203</v>
      </c>
      <c r="T36" s="2">
        <v>3281757</v>
      </c>
      <c r="U36" s="15">
        <f>GETPIVOTDATA("Product Sales",$T$35)</f>
        <v>3281757</v>
      </c>
    </row>
    <row r="37" spans="1:21" x14ac:dyDescent="0.3">
      <c r="A37" s="8" t="s">
        <v>13</v>
      </c>
      <c r="B37" s="2">
        <v>113038</v>
      </c>
      <c r="C37" s="3">
        <v>0.18963333333333335</v>
      </c>
      <c r="I37" s="8" t="s">
        <v>12</v>
      </c>
      <c r="J37" s="25">
        <v>39</v>
      </c>
      <c r="P37" s="7" t="s">
        <v>20</v>
      </c>
      <c r="Q37" s="25">
        <v>199</v>
      </c>
    </row>
    <row r="38" spans="1:21" x14ac:dyDescent="0.3">
      <c r="A38" s="8" t="s">
        <v>10</v>
      </c>
      <c r="B38" s="2">
        <v>102609</v>
      </c>
      <c r="C38" s="3">
        <v>0.26175813953488369</v>
      </c>
      <c r="I38" s="8" t="s">
        <v>22</v>
      </c>
      <c r="J38" s="25">
        <v>38</v>
      </c>
      <c r="P38" s="7" t="s">
        <v>16</v>
      </c>
      <c r="Q38" s="25">
        <v>198</v>
      </c>
      <c r="T38" t="s">
        <v>58</v>
      </c>
    </row>
    <row r="39" spans="1:21" x14ac:dyDescent="0.3">
      <c r="A39" s="8" t="s">
        <v>19</v>
      </c>
      <c r="B39" s="2">
        <v>36574</v>
      </c>
      <c r="C39" s="3">
        <v>0.23931428571428567</v>
      </c>
      <c r="I39" s="8" t="s">
        <v>24</v>
      </c>
      <c r="J39" s="25">
        <v>34</v>
      </c>
      <c r="P39" s="7" t="s">
        <v>11</v>
      </c>
      <c r="Q39" s="25">
        <v>197</v>
      </c>
      <c r="T39" s="25">
        <v>1336</v>
      </c>
      <c r="U39">
        <f>GETPIVOTDATA("Campaign ID",$T$38)</f>
        <v>1336</v>
      </c>
    </row>
    <row r="40" spans="1:21" x14ac:dyDescent="0.3">
      <c r="A40" s="7" t="s">
        <v>28</v>
      </c>
      <c r="B40" s="2">
        <v>3281757</v>
      </c>
      <c r="C40" s="3">
        <v>0.30740643712574861</v>
      </c>
      <c r="I40" s="8" t="s">
        <v>15</v>
      </c>
      <c r="J40" s="25">
        <v>31</v>
      </c>
      <c r="P40" s="7" t="s">
        <v>21</v>
      </c>
      <c r="Q40" s="25">
        <v>187</v>
      </c>
    </row>
    <row r="41" spans="1:21" x14ac:dyDescent="0.3">
      <c r="I41" s="7" t="s">
        <v>16</v>
      </c>
      <c r="J41" s="25">
        <v>198</v>
      </c>
      <c r="P41" s="7" t="s">
        <v>25</v>
      </c>
      <c r="Q41" s="25">
        <v>187</v>
      </c>
      <c r="T41" t="s">
        <v>30</v>
      </c>
    </row>
    <row r="42" spans="1:21" x14ac:dyDescent="0.3">
      <c r="I42" s="8" t="s">
        <v>17</v>
      </c>
      <c r="J42" s="25">
        <v>47</v>
      </c>
      <c r="P42" s="7" t="s">
        <v>23</v>
      </c>
      <c r="Q42" s="25">
        <v>165</v>
      </c>
      <c r="T42" s="3">
        <v>0.30740643712574867</v>
      </c>
      <c r="U42" s="3">
        <f xml:space="preserve"> GETPIVOTDATA("Engagement Rate",$T$41)</f>
        <v>0.30740643712574867</v>
      </c>
    </row>
    <row r="43" spans="1:21" x14ac:dyDescent="0.3">
      <c r="I43" s="8" t="s">
        <v>24</v>
      </c>
      <c r="J43" s="25">
        <v>41</v>
      </c>
      <c r="P43" s="7" t="s">
        <v>28</v>
      </c>
      <c r="Q43" s="25">
        <v>1336</v>
      </c>
    </row>
    <row r="44" spans="1:21" x14ac:dyDescent="0.3">
      <c r="I44" s="8" t="s">
        <v>12</v>
      </c>
      <c r="J44" s="25">
        <v>40</v>
      </c>
    </row>
    <row r="45" spans="1:21" x14ac:dyDescent="0.3">
      <c r="I45" s="8" t="s">
        <v>15</v>
      </c>
      <c r="J45" s="25">
        <v>38</v>
      </c>
    </row>
    <row r="46" spans="1:21" x14ac:dyDescent="0.3">
      <c r="I46" s="8" t="s">
        <v>22</v>
      </c>
      <c r="J46" s="25">
        <v>32</v>
      </c>
    </row>
    <row r="47" spans="1:21" x14ac:dyDescent="0.3">
      <c r="I47" s="7" t="s">
        <v>28</v>
      </c>
      <c r="J47" s="25">
        <v>1336</v>
      </c>
    </row>
  </sheetData>
  <mergeCells count="9">
    <mergeCell ref="T31:U34"/>
    <mergeCell ref="P33:Q34"/>
    <mergeCell ref="I1:J3"/>
    <mergeCell ref="L1:M3"/>
    <mergeCell ref="A1:G3"/>
    <mergeCell ref="P14:Q16"/>
    <mergeCell ref="P1:R3"/>
    <mergeCell ref="L11:M13"/>
    <mergeCell ref="T1:W3"/>
  </mergeCells>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2A2C-3FFF-494F-B1C3-70052D92BB94}">
  <sheetPr>
    <tabColor rgb="FF00B0F0"/>
  </sheetPr>
  <dimension ref="A1:AF40"/>
  <sheetViews>
    <sheetView showGridLines="0" tabSelected="1" zoomScale="75" zoomScaleNormal="75" workbookViewId="0">
      <selection activeCell="I6" sqref="I6"/>
    </sheetView>
  </sheetViews>
  <sheetFormatPr defaultRowHeight="14.4" x14ac:dyDescent="0.3"/>
  <sheetData>
    <row r="1" spans="1:32"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spans="1:32"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row>
    <row r="4" spans="1:32"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row>
    <row r="5" spans="1:32"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2"/>
    </row>
    <row r="6" spans="1:32"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1"/>
    </row>
    <row r="7" spans="1:32"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row>
    <row r="8" spans="1:32"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row>
    <row r="9" spans="1:32"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row>
    <row r="10" spans="1:32"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row>
    <row r="11" spans="1:32"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row>
    <row r="12" spans="1:32"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row>
    <row r="13" spans="1:32"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row>
    <row r="14" spans="1:32"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row>
    <row r="15" spans="1:32"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spans="1:32"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row>
    <row r="17" spans="1:32"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row>
    <row r="18" spans="1:32"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row>
    <row r="19" spans="1:32"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row>
    <row r="20" spans="1:32"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row>
    <row r="21" spans="1:32"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row>
    <row r="22" spans="1:32"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row>
    <row r="23" spans="1:32"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row>
    <row r="24" spans="1:32"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row>
    <row r="25" spans="1:32"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row>
    <row r="26" spans="1:32"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row>
    <row r="27" spans="1:32"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row>
    <row r="28" spans="1:32"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row>
    <row r="29" spans="1:32"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row>
    <row r="30" spans="1:32"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row>
    <row r="32" spans="1:32"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row>
    <row r="33" spans="1:32"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row>
    <row r="34" spans="1:32"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row>
    <row r="35" spans="1:32"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row>
    <row r="36" spans="1:32"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row>
    <row r="37" spans="1:32"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row>
    <row r="38" spans="1:32"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row>
    <row r="39" spans="1:32"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row>
    <row r="40" spans="1:32"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ROI Dataset</vt:lpstr>
      <vt:lpstr>Data Analysis</vt:lpstr>
      <vt:lpstr>Data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Hamidov Tural Tarlan</cp:lastModifiedBy>
  <dcterms:created xsi:type="dcterms:W3CDTF">2025-12-02T07:58:03Z</dcterms:created>
  <dcterms:modified xsi:type="dcterms:W3CDTF">2026-02-13T21:43:54Z</dcterms:modified>
</cp:coreProperties>
</file>